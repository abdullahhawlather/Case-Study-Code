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llahhawlather/Desktop/3.2/Case_Study/Dataset/Prototype Upload Data/"/>
    </mc:Choice>
  </mc:AlternateContent>
  <xr:revisionPtr revIDLastSave="0" documentId="13_ncr:1_{4EA895B0-CD69-A541-85CE-D6DA67701216}" xr6:coauthVersionLast="47" xr6:coauthVersionMax="47" xr10:uidLastSave="{00000000-0000-0000-0000-000000000000}"/>
  <bookViews>
    <workbookView xWindow="0" yWindow="680" windowWidth="14720" windowHeight="18440" xr2:uid="{00000000-000D-0000-FFFF-FFFF00000000}"/>
  </bookViews>
  <sheets>
    <sheet name="Sheet1" sheetId="1" r:id="rId1"/>
    <sheet name="Seasonal Factor - Methodology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B3" i="1" a="1"/>
  <c r="B3" i="1"/>
  <c r="B4" i="1" a="1"/>
  <c r="B4" i="1"/>
  <c r="B5" i="1" a="1"/>
  <c r="B5" i="1" s="1"/>
  <c r="B6" i="1" a="1"/>
  <c r="B6" i="1" s="1"/>
  <c r="B7" i="1" a="1"/>
  <c r="B7" i="1" s="1"/>
  <c r="B8" i="1" a="1"/>
  <c r="B8" i="1"/>
  <c r="B9" i="1" a="1"/>
  <c r="B9" i="1" s="1"/>
  <c r="B10" i="1" a="1"/>
  <c r="B10" i="1" s="1"/>
  <c r="B11" i="1" a="1"/>
  <c r="B11" i="1"/>
  <c r="B12" i="1" a="1"/>
  <c r="B12" i="1" s="1"/>
  <c r="B13" i="1" a="1"/>
  <c r="B13" i="1" s="1"/>
  <c r="B14" i="1" a="1"/>
  <c r="B14" i="1" s="1"/>
  <c r="B15" i="1" a="1"/>
  <c r="B15" i="1" s="1"/>
  <c r="B16" i="1" a="1"/>
  <c r="B16" i="1"/>
  <c r="B17" i="1" a="1"/>
  <c r="B17" i="1" s="1"/>
  <c r="B18" i="1" a="1"/>
  <c r="B18" i="1" s="1"/>
  <c r="B19" i="1" a="1"/>
  <c r="B19" i="1"/>
  <c r="B20" i="1" a="1"/>
  <c r="B20" i="1" s="1"/>
  <c r="B21" i="1" a="1"/>
  <c r="B21" i="1" s="1"/>
  <c r="B22" i="1" a="1"/>
  <c r="B22" i="1" s="1"/>
  <c r="B23" i="1" a="1"/>
  <c r="B23" i="1" s="1"/>
  <c r="B24" i="1" a="1"/>
  <c r="B24" i="1"/>
  <c r="B25" i="1" a="1"/>
  <c r="B25" i="1" s="1"/>
  <c r="B26" i="1" a="1"/>
  <c r="B26" i="1" s="1"/>
  <c r="B27" i="1" a="1"/>
  <c r="B27" i="1"/>
  <c r="B28" i="1" a="1"/>
  <c r="B28" i="1" s="1"/>
  <c r="B29" i="1" a="1"/>
  <c r="B29" i="1" s="1"/>
  <c r="B30" i="1" a="1"/>
  <c r="B30" i="1" s="1"/>
  <c r="B31" i="1" a="1"/>
  <c r="B31" i="1" s="1"/>
  <c r="B32" i="1" a="1"/>
  <c r="B32" i="1"/>
  <c r="B33" i="1" a="1"/>
  <c r="B33" i="1" s="1"/>
  <c r="B34" i="1" a="1"/>
  <c r="B34" i="1" s="1"/>
  <c r="B35" i="1" a="1"/>
  <c r="B35" i="1"/>
  <c r="B36" i="1" a="1"/>
  <c r="B36" i="1" s="1"/>
  <c r="B37" i="1" a="1"/>
  <c r="B37" i="1" s="1"/>
  <c r="B38" i="1" a="1"/>
  <c r="B38" i="1" s="1"/>
  <c r="B39" i="1" a="1"/>
  <c r="B39" i="1" s="1"/>
  <c r="B40" i="1" a="1"/>
  <c r="B40" i="1"/>
  <c r="B41" i="1" a="1"/>
  <c r="B41" i="1" s="1"/>
  <c r="B42" i="1" a="1"/>
  <c r="B42" i="1" s="1"/>
  <c r="B43" i="1" a="1"/>
  <c r="B43" i="1"/>
  <c r="B44" i="1" a="1"/>
  <c r="B44" i="1" s="1"/>
  <c r="B45" i="1" a="1"/>
  <c r="B45" i="1" s="1"/>
  <c r="B46" i="1" a="1"/>
  <c r="B46" i="1" s="1"/>
  <c r="B47" i="1" a="1"/>
  <c r="B47" i="1"/>
  <c r="B48" i="1" a="1"/>
  <c r="B48" i="1"/>
  <c r="B49" i="1" a="1"/>
  <c r="B49" i="1" s="1"/>
  <c r="B50" i="1" a="1"/>
  <c r="B50" i="1" s="1"/>
  <c r="B51" i="1" a="1"/>
  <c r="B51" i="1"/>
  <c r="B52" i="1" a="1"/>
  <c r="B52" i="1"/>
  <c r="B53" i="1" a="1"/>
  <c r="B53" i="1" s="1"/>
  <c r="B54" i="1" a="1"/>
  <c r="B54" i="1" s="1"/>
  <c r="B55" i="1" a="1"/>
  <c r="B55" i="1" s="1"/>
  <c r="B56" i="1" a="1"/>
  <c r="B56" i="1"/>
  <c r="B57" i="1" a="1"/>
  <c r="B57" i="1" s="1"/>
  <c r="B58" i="1" a="1"/>
  <c r="B58" i="1" s="1"/>
  <c r="B59" i="1" a="1"/>
  <c r="B59" i="1"/>
  <c r="B60" i="1" a="1"/>
  <c r="B60" i="1" s="1"/>
  <c r="B61" i="1" a="1"/>
  <c r="B61" i="1" s="1"/>
  <c r="B62" i="1" a="1"/>
  <c r="B62" i="1" s="1"/>
  <c r="B63" i="1" a="1"/>
  <c r="B63" i="1" s="1"/>
  <c r="B64" i="1" a="1"/>
  <c r="B64" i="1"/>
  <c r="B65" i="1" a="1"/>
  <c r="B65" i="1" s="1"/>
  <c r="B66" i="1" a="1"/>
  <c r="B66" i="1" s="1"/>
  <c r="B67" i="1" a="1"/>
  <c r="B67" i="1"/>
  <c r="B68" i="1" a="1"/>
  <c r="B68" i="1" s="1"/>
  <c r="B69" i="1" a="1"/>
  <c r="B69" i="1" s="1"/>
  <c r="B70" i="1" a="1"/>
  <c r="B70" i="1" s="1"/>
  <c r="B71" i="1" a="1"/>
  <c r="B71" i="1" s="1"/>
  <c r="B72" i="1" a="1"/>
  <c r="B72" i="1"/>
  <c r="B73" i="1" a="1"/>
  <c r="B73" i="1" s="1"/>
  <c r="B74" i="1" a="1"/>
  <c r="B74" i="1" s="1"/>
  <c r="B75" i="1" a="1"/>
  <c r="B75" i="1"/>
  <c r="B76" i="1" a="1"/>
  <c r="B76" i="1" s="1"/>
  <c r="B77" i="1" a="1"/>
  <c r="B77" i="1" s="1"/>
  <c r="B78" i="1" a="1"/>
  <c r="B78" i="1" s="1"/>
  <c r="B79" i="1" a="1"/>
  <c r="B79" i="1"/>
  <c r="B80" i="1" a="1"/>
  <c r="B80" i="1"/>
  <c r="B81" i="1" a="1"/>
  <c r="B81" i="1" s="1"/>
  <c r="B82" i="1" a="1"/>
  <c r="B82" i="1" s="1"/>
  <c r="B83" i="1" a="1"/>
  <c r="B83" i="1"/>
  <c r="B84" i="1" a="1"/>
  <c r="B84" i="1" s="1"/>
  <c r="B85" i="1" a="1"/>
  <c r="B85" i="1" s="1"/>
  <c r="B86" i="1" a="1"/>
  <c r="B86" i="1" s="1"/>
  <c r="B87" i="1" a="1"/>
  <c r="B87" i="1" s="1"/>
  <c r="B88" i="1" a="1"/>
  <c r="B88" i="1"/>
  <c r="B89" i="1" a="1"/>
  <c r="B89" i="1" s="1"/>
  <c r="B90" i="1" a="1"/>
  <c r="B90" i="1" s="1"/>
  <c r="B91" i="1" a="1"/>
  <c r="B91" i="1"/>
  <c r="B92" i="1" a="1"/>
  <c r="B92" i="1" s="1"/>
  <c r="B93" i="1" a="1"/>
  <c r="B93" i="1" s="1"/>
  <c r="B94" i="1" a="1"/>
  <c r="B94" i="1" s="1"/>
  <c r="B95" i="1" a="1"/>
  <c r="B95" i="1" s="1"/>
  <c r="B96" i="1" a="1"/>
  <c r="B96" i="1"/>
  <c r="B97" i="1" a="1"/>
  <c r="B97" i="1" s="1"/>
  <c r="B98" i="1" a="1"/>
  <c r="B98" i="1" s="1"/>
  <c r="B99" i="1" a="1"/>
  <c r="B99" i="1"/>
  <c r="B100" i="1" a="1"/>
  <c r="B100" i="1" s="1"/>
  <c r="B101" i="1" a="1"/>
  <c r="B101" i="1" s="1"/>
  <c r="B102" i="1" a="1"/>
  <c r="B102" i="1" s="1"/>
  <c r="B103" i="1" a="1"/>
  <c r="B103" i="1" s="1"/>
  <c r="B104" i="1" a="1"/>
  <c r="B104" i="1"/>
  <c r="B105" i="1" a="1"/>
  <c r="B105" i="1" s="1"/>
  <c r="B106" i="1" a="1"/>
  <c r="B106" i="1" s="1"/>
  <c r="B107" i="1" a="1"/>
  <c r="B107" i="1"/>
  <c r="B108" i="1" a="1"/>
  <c r="B108" i="1" s="1"/>
  <c r="B109" i="1" a="1"/>
  <c r="B109" i="1" s="1"/>
  <c r="B110" i="1" a="1"/>
  <c r="B110" i="1" s="1"/>
  <c r="B111" i="1" a="1"/>
  <c r="B111" i="1"/>
  <c r="B112" i="1" a="1"/>
  <c r="B112" i="1"/>
  <c r="B113" i="1" a="1"/>
  <c r="B113" i="1" s="1"/>
  <c r="B114" i="1" a="1"/>
  <c r="B114" i="1" s="1"/>
  <c r="B115" i="1" a="1"/>
  <c r="B115" i="1"/>
  <c r="B116" i="1" a="1"/>
  <c r="B116" i="1"/>
  <c r="B117" i="1" a="1"/>
  <c r="B117" i="1" s="1"/>
  <c r="B118" i="1" a="1"/>
  <c r="B118" i="1" s="1"/>
  <c r="B119" i="1" a="1"/>
  <c r="B119" i="1" s="1"/>
  <c r="B120" i="1" a="1"/>
  <c r="B120" i="1"/>
  <c r="B121" i="1" a="1"/>
  <c r="B121" i="1" s="1"/>
  <c r="B122" i="1" a="1"/>
  <c r="B122" i="1" s="1"/>
  <c r="B123" i="1" a="1"/>
  <c r="B123" i="1"/>
  <c r="B124" i="1" a="1"/>
  <c r="B124" i="1" s="1"/>
  <c r="B125" i="1" a="1"/>
  <c r="B125" i="1" s="1"/>
  <c r="B126" i="1" a="1"/>
  <c r="B126" i="1" s="1"/>
  <c r="B127" i="1" a="1"/>
  <c r="B127" i="1" s="1"/>
  <c r="B128" i="1" a="1"/>
  <c r="B128" i="1"/>
  <c r="B129" i="1" a="1"/>
  <c r="B129" i="1" s="1"/>
  <c r="B130" i="1" a="1"/>
  <c r="B130" i="1" s="1"/>
  <c r="B131" i="1" a="1"/>
  <c r="B131" i="1"/>
  <c r="B132" i="1" a="1"/>
  <c r="B132" i="1" s="1"/>
  <c r="B133" i="1" a="1"/>
  <c r="B133" i="1" s="1"/>
  <c r="B134" i="1" a="1"/>
  <c r="B134" i="1" s="1"/>
  <c r="B135" i="1" a="1"/>
  <c r="B135" i="1" s="1"/>
  <c r="B136" i="1" a="1"/>
  <c r="B136" i="1"/>
  <c r="B137" i="1" a="1"/>
  <c r="B137" i="1" s="1"/>
  <c r="B138" i="1" a="1"/>
  <c r="B138" i="1" s="1"/>
  <c r="B139" i="1" a="1"/>
  <c r="B139" i="1"/>
  <c r="B140" i="1" a="1"/>
  <c r="B140" i="1" s="1"/>
  <c r="B141" i="1" a="1"/>
  <c r="B141" i="1" s="1"/>
  <c r="B142" i="1" a="1"/>
  <c r="B142" i="1" s="1"/>
  <c r="B143" i="1" a="1"/>
  <c r="B143" i="1" s="1"/>
  <c r="B144" i="1" a="1"/>
  <c r="B144" i="1"/>
  <c r="B145" i="1" a="1"/>
  <c r="B145" i="1" s="1"/>
  <c r="B146" i="1" a="1"/>
  <c r="B146" i="1" s="1"/>
  <c r="B147" i="1" a="1"/>
  <c r="B147" i="1"/>
  <c r="B148" i="1" a="1"/>
  <c r="B148" i="1" s="1"/>
  <c r="B149" i="1" a="1"/>
  <c r="B149" i="1" s="1"/>
  <c r="B150" i="1" a="1"/>
  <c r="B150" i="1" s="1"/>
  <c r="B151" i="1" a="1"/>
  <c r="B151" i="1" s="1"/>
  <c r="B152" i="1" a="1"/>
  <c r="B152" i="1"/>
  <c r="B153" i="1" a="1"/>
  <c r="B153" i="1" s="1"/>
  <c r="B154" i="1" a="1"/>
  <c r="B154" i="1" s="1"/>
  <c r="B155" i="1" a="1"/>
  <c r="B155" i="1"/>
  <c r="B156" i="1" a="1"/>
  <c r="B156" i="1" s="1"/>
  <c r="B157" i="1" a="1"/>
  <c r="B157" i="1" s="1"/>
  <c r="B158" i="1" a="1"/>
  <c r="B158" i="1" s="1"/>
  <c r="B159" i="1" a="1"/>
  <c r="B159" i="1" s="1"/>
  <c r="B160" i="1" a="1"/>
  <c r="B160" i="1"/>
  <c r="B161" i="1" a="1"/>
  <c r="B161" i="1" s="1"/>
  <c r="B162" i="1" a="1"/>
  <c r="B162" i="1" s="1"/>
  <c r="B163" i="1" a="1"/>
  <c r="B163" i="1"/>
  <c r="B164" i="1" a="1"/>
  <c r="B164" i="1" s="1"/>
  <c r="B165" i="1" a="1"/>
  <c r="B165" i="1" s="1"/>
  <c r="B166" i="1" a="1"/>
  <c r="B166" i="1" s="1"/>
  <c r="B167" i="1" a="1"/>
  <c r="B167" i="1" s="1"/>
  <c r="B168" i="1" a="1"/>
  <c r="B168" i="1"/>
  <c r="B169" i="1" a="1"/>
  <c r="B169" i="1" s="1"/>
  <c r="B170" i="1" a="1"/>
  <c r="B170" i="1" s="1"/>
  <c r="B171" i="1" a="1"/>
  <c r="B171" i="1"/>
  <c r="B172" i="1" a="1"/>
  <c r="B172" i="1" s="1"/>
  <c r="B173" i="1" a="1"/>
  <c r="B173" i="1" s="1"/>
  <c r="B174" i="1" a="1"/>
  <c r="B174" i="1" s="1"/>
  <c r="B175" i="1" a="1"/>
  <c r="B175" i="1"/>
  <c r="B176" i="1" a="1"/>
  <c r="B176" i="1"/>
  <c r="B177" i="1" a="1"/>
  <c r="B177" i="1" s="1"/>
  <c r="B178" i="1" a="1"/>
  <c r="B178" i="1" s="1"/>
  <c r="B179" i="1" a="1"/>
  <c r="B179" i="1"/>
  <c r="B180" i="1" a="1"/>
  <c r="B180" i="1"/>
  <c r="B181" i="1" a="1"/>
  <c r="B181" i="1" s="1"/>
  <c r="B182" i="1" a="1"/>
  <c r="B182" i="1" s="1"/>
  <c r="B183" i="1" a="1"/>
  <c r="B183" i="1" s="1"/>
  <c r="B184" i="1" a="1"/>
  <c r="B184" i="1"/>
  <c r="B185" i="1" a="1"/>
  <c r="B185" i="1" s="1"/>
  <c r="B186" i="1" a="1"/>
  <c r="B186" i="1" s="1"/>
  <c r="B187" i="1" a="1"/>
  <c r="B187" i="1"/>
  <c r="B188" i="1" a="1"/>
  <c r="B188" i="1" s="1"/>
  <c r="B189" i="1" a="1"/>
  <c r="B189" i="1" s="1"/>
  <c r="B190" i="1" a="1"/>
  <c r="B190" i="1" s="1"/>
  <c r="B191" i="1" a="1"/>
  <c r="B191" i="1" s="1"/>
  <c r="B192" i="1" a="1"/>
  <c r="B192" i="1"/>
  <c r="B193" i="1" a="1"/>
  <c r="B193" i="1" s="1"/>
  <c r="B194" i="1" a="1"/>
  <c r="B194" i="1" s="1"/>
  <c r="B195" i="1" a="1"/>
  <c r="B195" i="1"/>
  <c r="B196" i="1" a="1"/>
  <c r="B196" i="1" s="1"/>
  <c r="B197" i="1" a="1"/>
  <c r="B197" i="1" s="1"/>
  <c r="B198" i="1" a="1"/>
  <c r="B198" i="1" s="1"/>
  <c r="B199" i="1" a="1"/>
  <c r="B199" i="1" s="1"/>
  <c r="B200" i="1" a="1"/>
  <c r="B200" i="1"/>
  <c r="B201" i="1" a="1"/>
  <c r="B201" i="1" s="1"/>
  <c r="B202" i="1" a="1"/>
  <c r="B202" i="1" s="1"/>
  <c r="B203" i="1" a="1"/>
  <c r="B203" i="1"/>
  <c r="B204" i="1" a="1"/>
  <c r="B204" i="1" s="1"/>
  <c r="B205" i="1" a="1"/>
  <c r="B205" i="1" s="1"/>
  <c r="B206" i="1" a="1"/>
  <c r="B206" i="1" s="1"/>
  <c r="B207" i="1" a="1"/>
  <c r="B207" i="1"/>
  <c r="B208" i="1" a="1"/>
  <c r="B208" i="1"/>
  <c r="B209" i="1" a="1"/>
  <c r="B209" i="1" s="1"/>
  <c r="B210" i="1" a="1"/>
  <c r="B210" i="1" s="1"/>
  <c r="B211" i="1" a="1"/>
  <c r="B211" i="1"/>
  <c r="B212" i="1" a="1"/>
  <c r="B212" i="1"/>
  <c r="B213" i="1" a="1"/>
  <c r="B213" i="1" s="1"/>
  <c r="B214" i="1" a="1"/>
  <c r="B214" i="1" s="1"/>
  <c r="B215" i="1" a="1"/>
  <c r="B215" i="1" s="1"/>
  <c r="B216" i="1" a="1"/>
  <c r="B216" i="1"/>
  <c r="B217" i="1" a="1"/>
  <c r="B217" i="1" s="1"/>
  <c r="B218" i="1" a="1"/>
  <c r="B218" i="1" s="1"/>
  <c r="B219" i="1" a="1"/>
  <c r="B219" i="1"/>
  <c r="B220" i="1" a="1"/>
  <c r="B220" i="1" s="1"/>
  <c r="B221" i="1" a="1"/>
  <c r="B221" i="1" s="1"/>
  <c r="B222" i="1" a="1"/>
  <c r="B222" i="1" s="1"/>
  <c r="B223" i="1" a="1"/>
  <c r="B223" i="1" s="1"/>
  <c r="B224" i="1" a="1"/>
  <c r="B224" i="1"/>
  <c r="B225" i="1" a="1"/>
  <c r="B225" i="1" s="1"/>
  <c r="B226" i="1" a="1"/>
  <c r="B226" i="1" s="1"/>
  <c r="B227" i="1" a="1"/>
  <c r="B227" i="1"/>
  <c r="B228" i="1" a="1"/>
  <c r="B228" i="1" s="1"/>
  <c r="B229" i="1" a="1"/>
  <c r="B229" i="1" s="1"/>
  <c r="B230" i="1" a="1"/>
  <c r="B230" i="1" s="1"/>
  <c r="B231" i="1" a="1"/>
  <c r="B231" i="1" s="1"/>
  <c r="B232" i="1" a="1"/>
  <c r="B232" i="1"/>
  <c r="B233" i="1" a="1"/>
  <c r="B233" i="1" s="1"/>
  <c r="B234" i="1" a="1"/>
  <c r="B234" i="1" s="1"/>
  <c r="B235" i="1" a="1"/>
  <c r="B235" i="1"/>
  <c r="B236" i="1" a="1"/>
  <c r="B236" i="1" s="1"/>
  <c r="B237" i="1" a="1"/>
  <c r="B237" i="1" s="1"/>
  <c r="B238" i="1" a="1"/>
  <c r="B238" i="1" s="1"/>
  <c r="B239" i="1" a="1"/>
  <c r="B239" i="1"/>
  <c r="B240" i="1" a="1"/>
  <c r="B240" i="1"/>
  <c r="B241" i="1" a="1"/>
  <c r="B241" i="1" s="1"/>
  <c r="B242" i="1" a="1"/>
  <c r="B242" i="1" s="1"/>
  <c r="B243" i="1" a="1"/>
  <c r="B243" i="1"/>
  <c r="B244" i="1" a="1"/>
  <c r="B244" i="1"/>
  <c r="B245" i="1" a="1"/>
  <c r="B245" i="1" s="1"/>
  <c r="B246" i="1" a="1"/>
  <c r="B246" i="1" s="1"/>
  <c r="B247" i="1" a="1"/>
  <c r="B247" i="1" s="1"/>
  <c r="B248" i="1" a="1"/>
  <c r="B248" i="1"/>
  <c r="B249" i="1" a="1"/>
  <c r="B249" i="1" s="1"/>
  <c r="B250" i="1" a="1"/>
  <c r="B250" i="1" s="1"/>
  <c r="B251" i="1" a="1"/>
  <c r="B251" i="1"/>
  <c r="B252" i="1" a="1"/>
  <c r="B252" i="1" s="1"/>
  <c r="B253" i="1" a="1"/>
  <c r="B253" i="1" s="1"/>
  <c r="B254" i="1" a="1"/>
  <c r="B254" i="1" s="1"/>
  <c r="B255" i="1" a="1"/>
  <c r="B255" i="1" s="1"/>
  <c r="B256" i="1" a="1"/>
  <c r="B256" i="1"/>
  <c r="B257" i="1" a="1"/>
  <c r="B257" i="1" s="1"/>
  <c r="B258" i="1" a="1"/>
  <c r="B258" i="1" s="1"/>
  <c r="B259" i="1" a="1"/>
  <c r="B259" i="1"/>
  <c r="B260" i="1" a="1"/>
  <c r="B260" i="1" s="1"/>
  <c r="B261" i="1" a="1"/>
  <c r="B261" i="1" s="1"/>
  <c r="B262" i="1" a="1"/>
  <c r="B262" i="1" s="1"/>
  <c r="B263" i="1" a="1"/>
  <c r="B263" i="1" s="1"/>
  <c r="B264" i="1" a="1"/>
  <c r="B264" i="1"/>
  <c r="B265" i="1" a="1"/>
  <c r="B265" i="1" s="1"/>
  <c r="B266" i="1" a="1"/>
  <c r="B266" i="1" s="1"/>
  <c r="B267" i="1" a="1"/>
  <c r="B267" i="1"/>
  <c r="B268" i="1" a="1"/>
  <c r="B268" i="1" s="1"/>
  <c r="B269" i="1" a="1"/>
  <c r="B269" i="1" s="1"/>
  <c r="B270" i="1" a="1"/>
  <c r="B270" i="1" s="1"/>
  <c r="B271" i="1" a="1"/>
  <c r="B271" i="1"/>
  <c r="B272" i="1" a="1"/>
  <c r="B272" i="1"/>
  <c r="B273" i="1" a="1"/>
  <c r="B273" i="1" s="1"/>
  <c r="B274" i="1" a="1"/>
  <c r="B274" i="1" s="1"/>
  <c r="B275" i="1" a="1"/>
  <c r="B275" i="1"/>
  <c r="B276" i="1" a="1"/>
  <c r="B276" i="1"/>
  <c r="B277" i="1" a="1"/>
  <c r="B277" i="1" s="1"/>
  <c r="B278" i="1" a="1"/>
  <c r="B278" i="1" s="1"/>
  <c r="B279" i="1" a="1"/>
  <c r="B279" i="1" s="1"/>
  <c r="B280" i="1" a="1"/>
  <c r="B280" i="1"/>
  <c r="B281" i="1" a="1"/>
  <c r="B281" i="1" s="1"/>
  <c r="B282" i="1" a="1"/>
  <c r="B282" i="1" s="1"/>
  <c r="B283" i="1" a="1"/>
  <c r="B283" i="1"/>
  <c r="B284" i="1" a="1"/>
  <c r="B284" i="1" s="1"/>
  <c r="B285" i="1" a="1"/>
  <c r="B285" i="1" s="1"/>
  <c r="B286" i="1" a="1"/>
  <c r="B286" i="1" s="1"/>
  <c r="B287" i="1" a="1"/>
  <c r="B287" i="1" s="1"/>
  <c r="B288" i="1" a="1"/>
  <c r="B288" i="1"/>
  <c r="B289" i="1" a="1"/>
  <c r="B289" i="1" s="1"/>
  <c r="B290" i="1" a="1"/>
  <c r="B290" i="1" s="1"/>
  <c r="B291" i="1" a="1"/>
  <c r="B291" i="1"/>
  <c r="B292" i="1" a="1"/>
  <c r="B292" i="1" s="1"/>
  <c r="B293" i="1" a="1"/>
  <c r="B293" i="1" s="1"/>
  <c r="B294" i="1" a="1"/>
  <c r="B294" i="1" s="1"/>
  <c r="B295" i="1" a="1"/>
  <c r="B295" i="1" s="1"/>
  <c r="B296" i="1" a="1"/>
  <c r="B296" i="1"/>
  <c r="B297" i="1" a="1"/>
  <c r="B297" i="1" s="1"/>
  <c r="B298" i="1" a="1"/>
  <c r="B298" i="1" s="1"/>
  <c r="B299" i="1" a="1"/>
  <c r="B299" i="1"/>
  <c r="B300" i="1" a="1"/>
  <c r="B300" i="1" s="1"/>
  <c r="B301" i="1" a="1"/>
  <c r="B301" i="1" s="1"/>
  <c r="B302" i="1" a="1"/>
  <c r="B302" i="1" s="1"/>
  <c r="B303" i="1" a="1"/>
  <c r="B303" i="1"/>
  <c r="B304" i="1" a="1"/>
  <c r="B304" i="1"/>
  <c r="B305" i="1" a="1"/>
  <c r="B305" i="1" s="1"/>
  <c r="B306" i="1" a="1"/>
  <c r="B306" i="1" s="1"/>
  <c r="B307" i="1" a="1"/>
  <c r="B307" i="1"/>
  <c r="B308" i="1" a="1"/>
  <c r="B308" i="1"/>
  <c r="B309" i="1" a="1"/>
  <c r="B309" i="1" s="1"/>
  <c r="B310" i="1" a="1"/>
  <c r="B310" i="1" s="1"/>
  <c r="B311" i="1" a="1"/>
  <c r="B311" i="1" s="1"/>
  <c r="B312" i="1" a="1"/>
  <c r="B312" i="1"/>
  <c r="B313" i="1" a="1"/>
  <c r="B313" i="1" s="1"/>
  <c r="B314" i="1" a="1"/>
  <c r="B314" i="1" s="1"/>
  <c r="B315" i="1" a="1"/>
  <c r="B315" i="1"/>
  <c r="B316" i="1" a="1"/>
  <c r="B316" i="1" s="1"/>
  <c r="B317" i="1" a="1"/>
  <c r="B317" i="1" s="1"/>
  <c r="B318" i="1" a="1"/>
  <c r="B318" i="1" s="1"/>
  <c r="B319" i="1" a="1"/>
  <c r="B319" i="1" s="1"/>
  <c r="B320" i="1" a="1"/>
  <c r="B320" i="1"/>
  <c r="B321" i="1" a="1"/>
  <c r="B321" i="1" s="1"/>
  <c r="B322" i="1" a="1"/>
  <c r="B322" i="1" s="1"/>
  <c r="B323" i="1" a="1"/>
  <c r="B323" i="1"/>
  <c r="B324" i="1" a="1"/>
  <c r="B324" i="1" s="1"/>
  <c r="B325" i="1" a="1"/>
  <c r="B325" i="1" s="1"/>
  <c r="B326" i="1" a="1"/>
  <c r="B326" i="1" s="1"/>
  <c r="B327" i="1" a="1"/>
  <c r="B327" i="1" s="1"/>
  <c r="B328" i="1" a="1"/>
  <c r="B328" i="1"/>
  <c r="B329" i="1" a="1"/>
  <c r="B329" i="1" s="1"/>
  <c r="B330" i="1" a="1"/>
  <c r="B330" i="1" s="1"/>
  <c r="B331" i="1" a="1"/>
  <c r="B331" i="1"/>
  <c r="B332" i="1" a="1"/>
  <c r="B332" i="1" s="1"/>
  <c r="B333" i="1" a="1"/>
  <c r="B333" i="1" s="1"/>
  <c r="B334" i="1" a="1"/>
  <c r="B334" i="1" s="1"/>
  <c r="B335" i="1" a="1"/>
  <c r="B335" i="1"/>
  <c r="B336" i="1" a="1"/>
  <c r="B336" i="1"/>
  <c r="B337" i="1" a="1"/>
  <c r="B337" i="1" s="1"/>
  <c r="B338" i="1" a="1"/>
  <c r="B338" i="1" s="1"/>
  <c r="B339" i="1" a="1"/>
  <c r="B339" i="1"/>
  <c r="B340" i="1" a="1"/>
  <c r="B340" i="1"/>
  <c r="B341" i="1" a="1"/>
  <c r="B341" i="1" s="1"/>
  <c r="B342" i="1" a="1"/>
  <c r="B342" i="1"/>
  <c r="B343" i="1" a="1"/>
  <c r="B343" i="1"/>
  <c r="B344" i="1" a="1"/>
  <c r="B344" i="1"/>
  <c r="B345" i="1" a="1"/>
  <c r="B345" i="1" s="1"/>
  <c r="B346" i="1" a="1"/>
  <c r="B346" i="1" s="1"/>
  <c r="B347" i="1" a="1"/>
  <c r="B347" i="1"/>
  <c r="B348" i="1" a="1"/>
  <c r="B348" i="1" s="1"/>
  <c r="B349" i="1" a="1"/>
  <c r="B349" i="1" s="1"/>
  <c r="B350" i="1" a="1"/>
  <c r="B350" i="1"/>
  <c r="B351" i="1" a="1"/>
  <c r="B351" i="1"/>
  <c r="B352" i="1" a="1"/>
  <c r="B352" i="1"/>
  <c r="B353" i="1" a="1"/>
  <c r="B353" i="1" s="1"/>
  <c r="B354" i="1" a="1"/>
  <c r="B354" i="1"/>
  <c r="B355" i="1" a="1"/>
  <c r="B355" i="1" s="1"/>
  <c r="B356" i="1" a="1"/>
  <c r="B356" i="1"/>
  <c r="B357" i="1" a="1"/>
  <c r="B357" i="1" s="1"/>
  <c r="B358" i="1" a="1"/>
  <c r="B358" i="1" s="1"/>
  <c r="B359" i="1" a="1"/>
  <c r="B359" i="1" s="1"/>
  <c r="B360" i="1" a="1"/>
  <c r="B360" i="1"/>
  <c r="B361" i="1" a="1"/>
  <c r="B361" i="1" s="1"/>
  <c r="B362" i="1" a="1"/>
  <c r="B362" i="1"/>
  <c r="B363" i="1" a="1"/>
  <c r="B363" i="1" s="1"/>
  <c r="B364" i="1" a="1"/>
  <c r="B364" i="1"/>
  <c r="B365" i="1" a="1"/>
  <c r="B365" i="1" s="1"/>
  <c r="B366" i="1" a="1"/>
  <c r="B366" i="1" s="1"/>
  <c r="B367" i="1" a="1"/>
  <c r="B367" i="1" s="1"/>
  <c r="B368" i="1" a="1"/>
  <c r="B368" i="1"/>
  <c r="B369" i="1" a="1"/>
  <c r="B369" i="1" s="1"/>
  <c r="B370" i="1" a="1"/>
  <c r="B370" i="1"/>
  <c r="B371" i="1" a="1"/>
  <c r="B371" i="1" s="1"/>
  <c r="B372" i="1" a="1"/>
  <c r="B372" i="1"/>
  <c r="B373" i="1" a="1"/>
  <c r="B373" i="1" s="1"/>
  <c r="B374" i="1" a="1"/>
  <c r="B374" i="1" s="1"/>
  <c r="B375" i="1" a="1"/>
  <c r="B375" i="1" s="1"/>
  <c r="B376" i="1" a="1"/>
  <c r="B376" i="1" s="1"/>
  <c r="B377" i="1" a="1"/>
  <c r="B377" i="1" s="1"/>
  <c r="B378" i="1" a="1"/>
  <c r="B378" i="1"/>
  <c r="B379" i="1" a="1"/>
  <c r="B379" i="1" s="1"/>
  <c r="B380" i="1" a="1"/>
  <c r="B380" i="1"/>
  <c r="B381" i="1" a="1"/>
  <c r="B381" i="1" s="1"/>
  <c r="B382" i="1" a="1"/>
  <c r="B382" i="1" s="1"/>
  <c r="B383" i="1" a="1"/>
  <c r="B383" i="1" s="1"/>
  <c r="B384" i="1" a="1"/>
  <c r="B384" i="1"/>
  <c r="B385" i="1" a="1"/>
  <c r="B385" i="1" s="1"/>
  <c r="B386" i="1" a="1"/>
  <c r="B386" i="1"/>
  <c r="B387" i="1" a="1"/>
  <c r="B387" i="1" s="1"/>
  <c r="B388" i="1" a="1"/>
  <c r="B388" i="1"/>
  <c r="B389" i="1" a="1"/>
  <c r="B389" i="1" s="1"/>
  <c r="B390" i="1" a="1"/>
  <c r="B390" i="1" s="1"/>
  <c r="B391" i="1" a="1"/>
  <c r="B391" i="1" s="1"/>
  <c r="B392" i="1" a="1"/>
  <c r="B392" i="1" s="1"/>
  <c r="B393" i="1" a="1"/>
  <c r="B393" i="1" s="1"/>
  <c r="B394" i="1" a="1"/>
  <c r="B394" i="1"/>
  <c r="B395" i="1" a="1"/>
  <c r="B395" i="1" s="1"/>
  <c r="B396" i="1" a="1"/>
  <c r="B396" i="1"/>
  <c r="B397" i="1" a="1"/>
  <c r="B397" i="1" s="1"/>
  <c r="B398" i="1" a="1"/>
  <c r="B398" i="1" s="1"/>
  <c r="B399" i="1" a="1"/>
  <c r="B399" i="1" s="1"/>
  <c r="B400" i="1" a="1"/>
  <c r="B400" i="1"/>
  <c r="B401" i="1" a="1"/>
  <c r="B401" i="1" s="1"/>
  <c r="B402" i="1" a="1"/>
  <c r="B402" i="1"/>
  <c r="B403" i="1" a="1"/>
  <c r="B403" i="1" s="1"/>
  <c r="B404" i="1" a="1"/>
  <c r="B404" i="1"/>
  <c r="B405" i="1" a="1"/>
  <c r="B405" i="1" s="1"/>
  <c r="B406" i="1" a="1"/>
  <c r="B406" i="1" s="1"/>
  <c r="B407" i="1" a="1"/>
  <c r="B407" i="1" s="1"/>
  <c r="B408" i="1" a="1"/>
  <c r="B408" i="1" s="1"/>
  <c r="B409" i="1" a="1"/>
  <c r="B409" i="1" s="1"/>
  <c r="B410" i="1" a="1"/>
  <c r="B410" i="1"/>
  <c r="B411" i="1" a="1"/>
  <c r="B411" i="1" s="1"/>
  <c r="B412" i="1" a="1"/>
  <c r="B412" i="1"/>
  <c r="B413" i="1" a="1"/>
  <c r="B413" i="1" s="1"/>
  <c r="B414" i="1" a="1"/>
  <c r="B414" i="1" s="1"/>
  <c r="B415" i="1" a="1"/>
  <c r="B415" i="1" s="1"/>
  <c r="B416" i="1" a="1"/>
  <c r="B416" i="1"/>
  <c r="B417" i="1" a="1"/>
  <c r="B417" i="1" s="1"/>
  <c r="B418" i="1" a="1"/>
  <c r="B418" i="1"/>
  <c r="B419" i="1" a="1"/>
  <c r="B419" i="1" s="1"/>
  <c r="B420" i="1" a="1"/>
  <c r="B420" i="1"/>
  <c r="B421" i="1" a="1"/>
  <c r="B421" i="1" s="1"/>
  <c r="B422" i="1" a="1"/>
  <c r="B422" i="1" s="1"/>
  <c r="B423" i="1" a="1"/>
  <c r="B423" i="1" s="1"/>
  <c r="B424" i="1" a="1"/>
  <c r="B424" i="1" s="1"/>
  <c r="B425" i="1" a="1"/>
  <c r="B425" i="1" s="1"/>
  <c r="B426" i="1" a="1"/>
  <c r="B426" i="1"/>
  <c r="B427" i="1" a="1"/>
  <c r="B427" i="1" s="1"/>
  <c r="B428" i="1" a="1"/>
  <c r="B428" i="1"/>
  <c r="B429" i="1" a="1"/>
  <c r="B429" i="1" s="1"/>
  <c r="B430" i="1" a="1"/>
  <c r="B430" i="1" s="1"/>
  <c r="B431" i="1" a="1"/>
  <c r="B431" i="1" s="1"/>
  <c r="B432" i="1" a="1"/>
  <c r="B432" i="1"/>
  <c r="B433" i="1" a="1"/>
  <c r="B433" i="1" s="1"/>
  <c r="B434" i="1" a="1"/>
  <c r="B434" i="1"/>
  <c r="B435" i="1" a="1"/>
  <c r="B435" i="1" s="1"/>
  <c r="B436" i="1" a="1"/>
  <c r="B436" i="1"/>
  <c r="B437" i="1" a="1"/>
  <c r="B437" i="1" s="1"/>
  <c r="B438" i="1" a="1"/>
  <c r="B438" i="1" s="1"/>
  <c r="B439" i="1" a="1"/>
  <c r="B439" i="1" s="1"/>
  <c r="B440" i="1" a="1"/>
  <c r="B440" i="1" s="1"/>
  <c r="B441" i="1" a="1"/>
  <c r="B441" i="1" s="1"/>
  <c r="B442" i="1" a="1"/>
  <c r="B442" i="1"/>
  <c r="B443" i="1" a="1"/>
  <c r="B443" i="1" s="1"/>
  <c r="B444" i="1" a="1"/>
  <c r="B444" i="1"/>
  <c r="B445" i="1" a="1"/>
  <c r="B445" i="1" s="1"/>
  <c r="B446" i="1" a="1"/>
  <c r="B446" i="1" s="1"/>
  <c r="B447" i="1" a="1"/>
  <c r="B447" i="1" s="1"/>
  <c r="B448" i="1" a="1"/>
  <c r="B448" i="1"/>
  <c r="B449" i="1" a="1"/>
  <c r="B449" i="1" s="1"/>
  <c r="B450" i="1" a="1"/>
  <c r="B450" i="1"/>
  <c r="B451" i="1" a="1"/>
  <c r="B451" i="1" s="1"/>
  <c r="B452" i="1" a="1"/>
  <c r="B452" i="1"/>
  <c r="B453" i="1" a="1"/>
  <c r="B453" i="1" s="1"/>
  <c r="B454" i="1" a="1"/>
  <c r="B454" i="1" s="1"/>
  <c r="B455" i="1" a="1"/>
  <c r="B455" i="1" s="1"/>
  <c r="B456" i="1" a="1"/>
  <c r="B456" i="1" s="1"/>
  <c r="B457" i="1" a="1"/>
  <c r="B457" i="1" s="1"/>
  <c r="B458" i="1" a="1"/>
  <c r="B458" i="1"/>
  <c r="B459" i="1" a="1"/>
  <c r="B459" i="1" s="1"/>
  <c r="B460" i="1" a="1"/>
  <c r="B460" i="1"/>
  <c r="B461" i="1" a="1"/>
  <c r="B461" i="1" s="1"/>
  <c r="B462" i="1" a="1"/>
  <c r="B462" i="1" s="1"/>
  <c r="B463" i="1" a="1"/>
  <c r="B463" i="1" s="1"/>
  <c r="B464" i="1" a="1"/>
  <c r="B464" i="1"/>
  <c r="B465" i="1" a="1"/>
  <c r="B465" i="1" s="1"/>
  <c r="B466" i="1" a="1"/>
  <c r="B466" i="1"/>
  <c r="B467" i="1" a="1"/>
  <c r="B467" i="1" s="1"/>
  <c r="B468" i="1" a="1"/>
  <c r="B468" i="1"/>
  <c r="B469" i="1" a="1"/>
  <c r="B469" i="1" s="1"/>
  <c r="B470" i="1" a="1"/>
  <c r="B470" i="1" s="1"/>
  <c r="B471" i="1" a="1"/>
  <c r="B471" i="1" s="1"/>
  <c r="B472" i="1" a="1"/>
  <c r="B472" i="1"/>
  <c r="B473" i="1" a="1"/>
  <c r="B473" i="1" s="1"/>
  <c r="B474" i="1" a="1"/>
  <c r="B474" i="1"/>
  <c r="B475" i="1" a="1"/>
  <c r="B475" i="1" s="1"/>
  <c r="B476" i="1" a="1"/>
  <c r="B476" i="1"/>
  <c r="B477" i="1" a="1"/>
  <c r="B477" i="1" s="1"/>
  <c r="B478" i="1" a="1"/>
  <c r="B478" i="1" s="1"/>
  <c r="B479" i="1" a="1"/>
  <c r="B479" i="1" s="1"/>
  <c r="B480" i="1" a="1"/>
  <c r="B480" i="1"/>
  <c r="B481" i="1" a="1"/>
  <c r="B481" i="1" s="1"/>
  <c r="B482" i="1" a="1"/>
  <c r="B482" i="1"/>
  <c r="B483" i="1" a="1"/>
  <c r="B483" i="1" s="1"/>
  <c r="B484" i="1" a="1"/>
  <c r="B484" i="1"/>
  <c r="B485" i="1" a="1"/>
  <c r="B485" i="1" s="1"/>
  <c r="B486" i="1" a="1"/>
  <c r="B486" i="1" s="1"/>
  <c r="B487" i="1" a="1"/>
  <c r="B487" i="1" s="1"/>
  <c r="B488" i="1" a="1"/>
  <c r="B488" i="1"/>
  <c r="B489" i="1" a="1"/>
  <c r="B489" i="1" s="1"/>
  <c r="B490" i="1" a="1"/>
  <c r="B490" i="1"/>
  <c r="B491" i="1" a="1"/>
  <c r="B491" i="1" s="1"/>
  <c r="B492" i="1" a="1"/>
  <c r="B492" i="1"/>
  <c r="B493" i="1" a="1"/>
  <c r="B493" i="1" s="1"/>
  <c r="B494" i="1" a="1"/>
  <c r="B494" i="1" s="1"/>
  <c r="B495" i="1" a="1"/>
  <c r="B495" i="1" s="1"/>
  <c r="B496" i="1" a="1"/>
  <c r="B496" i="1"/>
  <c r="B497" i="1" a="1"/>
  <c r="B497" i="1" s="1"/>
  <c r="B498" i="1" a="1"/>
  <c r="B498" i="1"/>
  <c r="B499" i="1" a="1"/>
  <c r="B499" i="1" s="1"/>
  <c r="B500" i="1" a="1"/>
  <c r="B500" i="1"/>
  <c r="B501" i="1" a="1"/>
  <c r="B501" i="1" s="1"/>
  <c r="B502" i="1" a="1"/>
  <c r="B502" i="1" s="1"/>
  <c r="B503" i="1" a="1"/>
  <c r="B503" i="1" s="1"/>
  <c r="B504" i="1" a="1"/>
  <c r="B504" i="1"/>
  <c r="B505" i="1" a="1"/>
  <c r="B505" i="1" s="1"/>
  <c r="B506" i="1" a="1"/>
  <c r="B506" i="1"/>
  <c r="B507" i="1" a="1"/>
  <c r="B507" i="1" s="1"/>
  <c r="B508" i="1" a="1"/>
  <c r="B508" i="1"/>
  <c r="B509" i="1" a="1"/>
  <c r="B509" i="1" s="1"/>
  <c r="B510" i="1" a="1"/>
  <c r="B510" i="1" s="1"/>
  <c r="B511" i="1" a="1"/>
  <c r="B511" i="1" s="1"/>
  <c r="B512" i="1" a="1"/>
  <c r="B512" i="1"/>
  <c r="B513" i="1" a="1"/>
  <c r="B513" i="1" s="1"/>
  <c r="B514" i="1" a="1"/>
  <c r="B514" i="1"/>
  <c r="B515" i="1" a="1"/>
  <c r="B515" i="1" s="1"/>
  <c r="B516" i="1" a="1"/>
  <c r="B516" i="1"/>
  <c r="B517" i="1" a="1"/>
  <c r="B517" i="1" s="1"/>
  <c r="B518" i="1" a="1"/>
  <c r="B518" i="1" s="1"/>
  <c r="B519" i="1" a="1"/>
  <c r="B519" i="1" s="1"/>
  <c r="B520" i="1" a="1"/>
  <c r="B520" i="1"/>
  <c r="B521" i="1" a="1"/>
  <c r="B521" i="1" s="1"/>
  <c r="B522" i="1" a="1"/>
  <c r="B522" i="1"/>
  <c r="B523" i="1" a="1"/>
  <c r="B523" i="1" s="1"/>
  <c r="B524" i="1" a="1"/>
  <c r="B524" i="1"/>
  <c r="B525" i="1" a="1"/>
  <c r="B525" i="1" s="1"/>
  <c r="B526" i="1" a="1"/>
  <c r="B526" i="1" s="1"/>
  <c r="B527" i="1" a="1"/>
  <c r="B527" i="1" s="1"/>
  <c r="B528" i="1" a="1"/>
  <c r="B528" i="1"/>
  <c r="B529" i="1" a="1"/>
  <c r="B529" i="1" s="1"/>
  <c r="B530" i="1" a="1"/>
  <c r="B530" i="1"/>
  <c r="B531" i="1" a="1"/>
  <c r="B531" i="1" s="1"/>
  <c r="B532" i="1" a="1"/>
  <c r="B532" i="1"/>
  <c r="B533" i="1" a="1"/>
  <c r="B533" i="1" s="1"/>
  <c r="B534" i="1" a="1"/>
  <c r="B534" i="1" s="1"/>
  <c r="B535" i="1" a="1"/>
  <c r="B535" i="1" s="1"/>
  <c r="B536" i="1" a="1"/>
  <c r="B536" i="1"/>
  <c r="B537" i="1" a="1"/>
  <c r="B537" i="1" s="1"/>
  <c r="B538" i="1" a="1"/>
  <c r="B538" i="1"/>
  <c r="B539" i="1" a="1"/>
  <c r="B539" i="1" s="1"/>
  <c r="B540" i="1" a="1"/>
  <c r="B540" i="1"/>
  <c r="B541" i="1" a="1"/>
  <c r="B541" i="1" s="1"/>
  <c r="B542" i="1" a="1"/>
  <c r="B542" i="1" s="1"/>
  <c r="B543" i="1" a="1"/>
  <c r="B543" i="1" s="1"/>
  <c r="B544" i="1" a="1"/>
  <c r="B544" i="1"/>
  <c r="B545" i="1" a="1"/>
  <c r="B545" i="1" s="1"/>
  <c r="B546" i="1" a="1"/>
  <c r="B546" i="1"/>
  <c r="B547" i="1" a="1"/>
  <c r="B547" i="1" s="1"/>
  <c r="B548" i="1" a="1"/>
  <c r="B548" i="1"/>
  <c r="B549" i="1" a="1"/>
  <c r="B549" i="1" s="1"/>
  <c r="B550" i="1" a="1"/>
  <c r="B550" i="1" s="1"/>
  <c r="B551" i="1" a="1"/>
  <c r="B551" i="1" s="1"/>
  <c r="B552" i="1" a="1"/>
  <c r="B552" i="1"/>
  <c r="B553" i="1" a="1"/>
  <c r="B553" i="1" s="1"/>
  <c r="B554" i="1" a="1"/>
  <c r="B554" i="1"/>
  <c r="B555" i="1" a="1"/>
  <c r="B555" i="1" s="1"/>
  <c r="B556" i="1" a="1"/>
  <c r="B556" i="1"/>
  <c r="B557" i="1" a="1"/>
  <c r="B557" i="1" s="1"/>
  <c r="B558" i="1" a="1"/>
  <c r="B558" i="1" s="1"/>
  <c r="B559" i="1" a="1"/>
  <c r="B559" i="1" s="1"/>
  <c r="B560" i="1" a="1"/>
  <c r="B560" i="1"/>
  <c r="B561" i="1" a="1"/>
  <c r="B561" i="1" s="1"/>
  <c r="B562" i="1" a="1"/>
  <c r="B562" i="1"/>
  <c r="B563" i="1" a="1"/>
  <c r="B563" i="1" s="1"/>
  <c r="B564" i="1" a="1"/>
  <c r="B564" i="1"/>
  <c r="B565" i="1" a="1"/>
  <c r="B565" i="1" s="1"/>
  <c r="B566" i="1" a="1"/>
  <c r="B566" i="1" s="1"/>
  <c r="B567" i="1" a="1"/>
  <c r="B567" i="1" s="1"/>
  <c r="B568" i="1" a="1"/>
  <c r="B568" i="1"/>
  <c r="B569" i="1" a="1"/>
  <c r="B569" i="1" s="1"/>
  <c r="B570" i="1" a="1"/>
  <c r="B570" i="1"/>
  <c r="B571" i="1" a="1"/>
  <c r="B571" i="1" s="1"/>
  <c r="B572" i="1" a="1"/>
  <c r="B572" i="1"/>
  <c r="B573" i="1" a="1"/>
  <c r="B573" i="1" s="1"/>
  <c r="B574" i="1" a="1"/>
  <c r="B574" i="1" s="1"/>
  <c r="B575" i="1" a="1"/>
  <c r="B575" i="1" s="1"/>
  <c r="B576" i="1" a="1"/>
  <c r="B576" i="1"/>
  <c r="B577" i="1" a="1"/>
  <c r="B577" i="1" s="1"/>
  <c r="B578" i="1" a="1"/>
  <c r="B578" i="1"/>
  <c r="B579" i="1" a="1"/>
  <c r="B579" i="1" s="1"/>
  <c r="B580" i="1" a="1"/>
  <c r="B580" i="1"/>
  <c r="B581" i="1" a="1"/>
  <c r="B581" i="1" s="1"/>
  <c r="B582" i="1" a="1"/>
  <c r="B582" i="1" s="1"/>
  <c r="B583" i="1" a="1"/>
  <c r="B583" i="1" s="1"/>
  <c r="B584" i="1" a="1"/>
  <c r="B584" i="1"/>
  <c r="B585" i="1" a="1"/>
  <c r="B585" i="1" s="1"/>
  <c r="B586" i="1" a="1"/>
  <c r="B586" i="1"/>
  <c r="B587" i="1" a="1"/>
  <c r="B587" i="1" s="1"/>
  <c r="B588" i="1" a="1"/>
  <c r="B588" i="1"/>
  <c r="B589" i="1" a="1"/>
  <c r="B589" i="1" s="1"/>
  <c r="B590" i="1" a="1"/>
  <c r="B590" i="1" s="1"/>
  <c r="B591" i="1" a="1"/>
  <c r="B591" i="1" s="1"/>
  <c r="B592" i="1" a="1"/>
  <c r="B592" i="1"/>
  <c r="B593" i="1" a="1"/>
  <c r="B593" i="1" s="1"/>
  <c r="B594" i="1" a="1"/>
  <c r="B594" i="1"/>
  <c r="B595" i="1" a="1"/>
  <c r="B595" i="1" s="1"/>
  <c r="B596" i="1" a="1"/>
  <c r="B596" i="1"/>
  <c r="B597" i="1" a="1"/>
  <c r="B597" i="1" s="1"/>
  <c r="B598" i="1" a="1"/>
  <c r="B598" i="1" s="1"/>
  <c r="B599" i="1" a="1"/>
  <c r="B599" i="1" s="1"/>
  <c r="B600" i="1" a="1"/>
  <c r="B600" i="1"/>
  <c r="B601" i="1" a="1"/>
  <c r="B601" i="1" s="1"/>
  <c r="B602" i="1" a="1"/>
  <c r="B602" i="1"/>
  <c r="B603" i="1" a="1"/>
  <c r="B603" i="1" s="1"/>
  <c r="B604" i="1" a="1"/>
  <c r="B604" i="1"/>
  <c r="B605" i="1" a="1"/>
  <c r="B605" i="1" s="1"/>
  <c r="B606" i="1" a="1"/>
  <c r="B606" i="1" s="1"/>
  <c r="B607" i="1" a="1"/>
  <c r="B607" i="1" s="1"/>
  <c r="B608" i="1" a="1"/>
  <c r="B608" i="1"/>
  <c r="B609" i="1" a="1"/>
  <c r="B609" i="1" s="1"/>
  <c r="B610" i="1" a="1"/>
  <c r="B610" i="1"/>
  <c r="B611" i="1" a="1"/>
  <c r="B611" i="1" s="1"/>
  <c r="B612" i="1" a="1"/>
  <c r="B612" i="1"/>
  <c r="B613" i="1" a="1"/>
  <c r="B613" i="1" s="1"/>
  <c r="B614" i="1" a="1"/>
  <c r="B614" i="1" s="1"/>
  <c r="B615" i="1" a="1"/>
  <c r="B615" i="1" s="1"/>
  <c r="B616" i="1" a="1"/>
  <c r="B616" i="1"/>
  <c r="B617" i="1" a="1"/>
  <c r="B617" i="1" s="1"/>
  <c r="B618" i="1" a="1"/>
  <c r="B618" i="1"/>
  <c r="B619" i="1" a="1"/>
  <c r="B619" i="1" s="1"/>
  <c r="B620" i="1" a="1"/>
  <c r="B620" i="1"/>
  <c r="B621" i="1" a="1"/>
  <c r="B621" i="1" s="1"/>
  <c r="B622" i="1" a="1"/>
  <c r="B622" i="1" s="1"/>
  <c r="B623" i="1" a="1"/>
  <c r="B623" i="1" s="1"/>
  <c r="B624" i="1" a="1"/>
  <c r="B624" i="1"/>
  <c r="B625" i="1" a="1"/>
  <c r="B625" i="1" s="1"/>
  <c r="B626" i="1" a="1"/>
  <c r="B626" i="1"/>
  <c r="B627" i="1" a="1"/>
  <c r="B627" i="1" s="1"/>
  <c r="B628" i="1" a="1"/>
  <c r="B628" i="1"/>
  <c r="B629" i="1" a="1"/>
  <c r="B629" i="1" s="1"/>
  <c r="B630" i="1" a="1"/>
  <c r="B630" i="1" s="1"/>
  <c r="B631" i="1" a="1"/>
  <c r="B631" i="1" s="1"/>
  <c r="B632" i="1" a="1"/>
  <c r="B632" i="1"/>
  <c r="B633" i="1" a="1"/>
  <c r="B633" i="1" s="1"/>
  <c r="B634" i="1" a="1"/>
  <c r="B634" i="1"/>
  <c r="B635" i="1" a="1"/>
  <c r="B635" i="1" s="1"/>
  <c r="B636" i="1" a="1"/>
  <c r="B636" i="1"/>
  <c r="B637" i="1" a="1"/>
  <c r="B637" i="1" s="1"/>
  <c r="B638" i="1" a="1"/>
  <c r="B638" i="1" s="1"/>
  <c r="B639" i="1" a="1"/>
  <c r="B639" i="1" s="1"/>
  <c r="B640" i="1" a="1"/>
  <c r="B640" i="1"/>
  <c r="B641" i="1" a="1"/>
  <c r="B641" i="1" s="1"/>
  <c r="B642" i="1" a="1"/>
  <c r="B642" i="1"/>
  <c r="B643" i="1" a="1"/>
  <c r="B643" i="1" s="1"/>
  <c r="B644" i="1" a="1"/>
  <c r="B644" i="1"/>
  <c r="B645" i="1" a="1"/>
  <c r="B645" i="1" s="1"/>
  <c r="B646" i="1" a="1"/>
  <c r="B646" i="1" s="1"/>
  <c r="B647" i="1" a="1"/>
  <c r="B647" i="1" s="1"/>
  <c r="B648" i="1" a="1"/>
  <c r="B648" i="1"/>
  <c r="B649" i="1" a="1"/>
  <c r="B649" i="1" s="1"/>
  <c r="B650" i="1" a="1"/>
  <c r="B650" i="1"/>
  <c r="B651" i="1" a="1"/>
  <c r="B651" i="1" s="1"/>
  <c r="B652" i="1" a="1"/>
  <c r="B652" i="1"/>
  <c r="B653" i="1" a="1"/>
  <c r="B653" i="1" s="1"/>
  <c r="B654" i="1" a="1"/>
  <c r="B654" i="1" s="1"/>
  <c r="B655" i="1" a="1"/>
  <c r="B655" i="1" s="1"/>
  <c r="B656" i="1" a="1"/>
  <c r="B656" i="1"/>
  <c r="B657" i="1" a="1"/>
  <c r="B657" i="1" s="1"/>
  <c r="B658" i="1" a="1"/>
  <c r="B658" i="1"/>
  <c r="B659" i="1" a="1"/>
  <c r="B659" i="1" s="1"/>
  <c r="B660" i="1" a="1"/>
  <c r="B660" i="1"/>
  <c r="B661" i="1" a="1"/>
  <c r="B661" i="1" s="1"/>
  <c r="B662" i="1" a="1"/>
  <c r="B662" i="1" s="1"/>
  <c r="B663" i="1" a="1"/>
  <c r="B663" i="1" s="1"/>
  <c r="B664" i="1" a="1"/>
  <c r="B664" i="1"/>
  <c r="B665" i="1" a="1"/>
  <c r="B665" i="1" s="1"/>
  <c r="B666" i="1" a="1"/>
  <c r="B666" i="1"/>
  <c r="B667" i="1" a="1"/>
  <c r="B667" i="1" s="1"/>
  <c r="B668" i="1" a="1"/>
  <c r="B668" i="1"/>
  <c r="B669" i="1" a="1"/>
  <c r="B669" i="1" s="1"/>
  <c r="B670" i="1" a="1"/>
  <c r="B670" i="1" s="1"/>
  <c r="B671" i="1" a="1"/>
  <c r="B671" i="1" s="1"/>
  <c r="B672" i="1" a="1"/>
  <c r="B672" i="1"/>
  <c r="B673" i="1" a="1"/>
  <c r="B673" i="1" s="1"/>
  <c r="B674" i="1" a="1"/>
  <c r="B674" i="1"/>
  <c r="B675" i="1" a="1"/>
  <c r="B675" i="1" s="1"/>
  <c r="B676" i="1" a="1"/>
  <c r="B676" i="1"/>
  <c r="B677" i="1" a="1"/>
  <c r="B677" i="1" s="1"/>
  <c r="B678" i="1" a="1"/>
  <c r="B678" i="1" s="1"/>
  <c r="B679" i="1" a="1"/>
  <c r="B679" i="1" s="1"/>
  <c r="B680" i="1" a="1"/>
  <c r="B680" i="1"/>
  <c r="B681" i="1" a="1"/>
  <c r="B681" i="1" s="1"/>
  <c r="B682" i="1" a="1"/>
  <c r="B682" i="1"/>
  <c r="B683" i="1" a="1"/>
  <c r="B683" i="1" s="1"/>
  <c r="B684" i="1" a="1"/>
  <c r="B684" i="1"/>
  <c r="B685" i="1" a="1"/>
  <c r="B685" i="1"/>
  <c r="B686" i="1" a="1"/>
  <c r="B686" i="1"/>
  <c r="B687" i="1" a="1"/>
  <c r="B687" i="1" s="1"/>
  <c r="B688" i="1" a="1"/>
  <c r="B688" i="1" s="1"/>
  <c r="B689" i="1" a="1"/>
  <c r="B689" i="1"/>
  <c r="B690" i="1" a="1"/>
  <c r="B690" i="1" s="1"/>
  <c r="B691" i="1" a="1"/>
  <c r="B691" i="1" s="1"/>
  <c r="B692" i="1" a="1"/>
  <c r="B692" i="1"/>
  <c r="B693" i="1" a="1"/>
  <c r="B693" i="1"/>
  <c r="B694" i="1" a="1"/>
  <c r="B694" i="1"/>
  <c r="B695" i="1" a="1"/>
  <c r="B695" i="1" s="1"/>
  <c r="B696" i="1" a="1"/>
  <c r="B696" i="1"/>
  <c r="B697" i="1" a="1"/>
  <c r="B697" i="1" s="1"/>
  <c r="B698" i="1" a="1"/>
  <c r="B698" i="1"/>
  <c r="B699" i="1" a="1"/>
  <c r="B699" i="1" s="1"/>
  <c r="B700" i="1" a="1"/>
  <c r="B700" i="1"/>
  <c r="B701" i="1" a="1"/>
  <c r="B701" i="1"/>
  <c r="B702" i="1" a="1"/>
  <c r="B702" i="1"/>
  <c r="B703" i="1" a="1"/>
  <c r="B703" i="1"/>
  <c r="B704" i="1" a="1"/>
  <c r="B704" i="1"/>
  <c r="B705" i="1" a="1"/>
  <c r="B705" i="1"/>
  <c r="B706" i="1" a="1"/>
  <c r="B706" i="1"/>
  <c r="B707" i="1" a="1"/>
  <c r="B707" i="1"/>
  <c r="B708" i="1" a="1"/>
  <c r="B708" i="1"/>
  <c r="B709" i="1" a="1"/>
  <c r="B709" i="1"/>
  <c r="B710" i="1" a="1"/>
  <c r="B710" i="1"/>
  <c r="B711" i="1" a="1"/>
  <c r="B711" i="1"/>
  <c r="B712" i="1" a="1"/>
  <c r="B712" i="1"/>
  <c r="B713" i="1" a="1"/>
  <c r="B713" i="1"/>
  <c r="B714" i="1" a="1"/>
  <c r="B714" i="1"/>
  <c r="B715" i="1" a="1"/>
  <c r="B715" i="1"/>
  <c r="B716" i="1" a="1"/>
  <c r="B716" i="1"/>
  <c r="B717" i="1" a="1"/>
  <c r="B717" i="1"/>
  <c r="B718" i="1" a="1"/>
  <c r="B718" i="1"/>
  <c r="B719" i="1" a="1"/>
  <c r="B719" i="1"/>
  <c r="B720" i="1" a="1"/>
  <c r="B720" i="1"/>
  <c r="B721" i="1" a="1"/>
  <c r="B721" i="1"/>
  <c r="B722" i="1" a="1"/>
  <c r="B722" i="1"/>
  <c r="B723" i="1" a="1"/>
  <c r="B723" i="1"/>
  <c r="B724" i="1" a="1"/>
  <c r="B724" i="1"/>
  <c r="B725" i="1" a="1"/>
  <c r="B725" i="1"/>
  <c r="B726" i="1" a="1"/>
  <c r="B726" i="1" s="1"/>
  <c r="B727" i="1" a="1"/>
  <c r="B727" i="1"/>
  <c r="B728" i="1" a="1"/>
  <c r="B728" i="1"/>
  <c r="B729" i="1" a="1"/>
  <c r="B729" i="1"/>
  <c r="B730" i="1" a="1"/>
  <c r="B730" i="1" s="1"/>
  <c r="B731" i="1" a="1"/>
  <c r="B731" i="1"/>
  <c r="B732" i="1" a="1"/>
  <c r="B732" i="1"/>
  <c r="B733" i="1" a="1"/>
  <c r="B733" i="1"/>
  <c r="B734" i="1" a="1"/>
  <c r="B734" i="1" s="1"/>
  <c r="B735" i="1" a="1"/>
  <c r="B735" i="1"/>
  <c r="B736" i="1" a="1"/>
  <c r="B736" i="1"/>
  <c r="B737" i="1" a="1"/>
  <c r="B737" i="1"/>
  <c r="B738" i="1" a="1"/>
  <c r="B738" i="1" s="1"/>
  <c r="B739" i="1" a="1"/>
  <c r="B739" i="1"/>
  <c r="B740" i="1" a="1"/>
  <c r="B740" i="1"/>
  <c r="B741" i="1" a="1"/>
  <c r="B741" i="1"/>
  <c r="B742" i="1" a="1"/>
  <c r="B742" i="1" s="1"/>
  <c r="B743" i="1" a="1"/>
  <c r="B743" i="1"/>
  <c r="B744" i="1" a="1"/>
  <c r="B744" i="1"/>
  <c r="B745" i="1" a="1"/>
  <c r="B745" i="1"/>
  <c r="B746" i="1" a="1"/>
  <c r="B746" i="1" s="1"/>
  <c r="B747" i="1" a="1"/>
  <c r="B747" i="1"/>
  <c r="B748" i="1" a="1"/>
  <c r="B748" i="1"/>
  <c r="B749" i="1" a="1"/>
  <c r="B749" i="1"/>
  <c r="B750" i="1" a="1"/>
  <c r="B750" i="1" s="1"/>
  <c r="B751" i="1" a="1"/>
  <c r="B751" i="1"/>
  <c r="B752" i="1" a="1"/>
  <c r="B752" i="1"/>
  <c r="B753" i="1" a="1"/>
  <c r="B753" i="1"/>
  <c r="B754" i="1" a="1"/>
  <c r="B754" i="1" s="1"/>
  <c r="B755" i="1" a="1"/>
  <c r="B755" i="1"/>
  <c r="B756" i="1" a="1"/>
  <c r="B756" i="1"/>
  <c r="B757" i="1" a="1"/>
  <c r="B757" i="1"/>
  <c r="B758" i="1" a="1"/>
  <c r="B758" i="1" s="1"/>
  <c r="B759" i="1" a="1"/>
  <c r="B759" i="1"/>
  <c r="B760" i="1" a="1"/>
  <c r="B760" i="1"/>
  <c r="B761" i="1" a="1"/>
  <c r="B761" i="1"/>
  <c r="B762" i="1" a="1"/>
  <c r="B762" i="1" s="1"/>
  <c r="B763" i="1" a="1"/>
  <c r="B763" i="1"/>
  <c r="B764" i="1" a="1"/>
  <c r="B764" i="1"/>
  <c r="B765" i="1" a="1"/>
  <c r="B765" i="1"/>
  <c r="B766" i="1" a="1"/>
  <c r="B766" i="1" s="1"/>
  <c r="B767" i="1" a="1"/>
  <c r="B767" i="1"/>
  <c r="B768" i="1" a="1"/>
  <c r="B768" i="1"/>
  <c r="B769" i="1" a="1"/>
  <c r="B769" i="1"/>
  <c r="B770" i="1" a="1"/>
  <c r="B770" i="1" s="1"/>
  <c r="B771" i="1" a="1"/>
  <c r="B771" i="1"/>
  <c r="B772" i="1" a="1"/>
  <c r="B772" i="1"/>
  <c r="B773" i="1" a="1"/>
  <c r="B773" i="1"/>
  <c r="B774" i="1" a="1"/>
  <c r="B774" i="1" s="1"/>
  <c r="B775" i="1" a="1"/>
  <c r="B775" i="1"/>
  <c r="B776" i="1" a="1"/>
  <c r="B776" i="1"/>
  <c r="B777" i="1" a="1"/>
  <c r="B777" i="1"/>
  <c r="B778" i="1" a="1"/>
  <c r="B77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Data processing</author>
  </authors>
  <commentList>
    <comment ref="E1" authorId="0" shapeId="0" xr:uid="{00000000-0006-0000-0000-000001000000}">
      <text>
        <r>
          <rPr>
            <sz val="12"/>
            <color rgb="FF000000"/>
            <rFont val="Calibri"/>
            <family val="2"/>
          </rPr>
          <t>Computed from this file's own Demand column using a classical seasonal index (see 'Seasonal Factor - Methodology' sheet for the full calculation).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<sst xmlns="http://schemas.openxmlformats.org/spreadsheetml/2006/main" count="1588" uniqueCount="40">
  <si>
    <t>Date</t>
  </si>
  <si>
    <t>Demand</t>
  </si>
  <si>
    <t>Price</t>
  </si>
  <si>
    <t>Seasonal Factor</t>
  </si>
  <si>
    <t>Promotion</t>
  </si>
  <si>
    <t>Yes</t>
  </si>
  <si>
    <t>No</t>
  </si>
  <si>
    <t>How the Seasonal Factor column was calculated</t>
  </si>
  <si>
    <t>Method: classical seasonal index (ratio-to-average method). Each calendar month is assigned one factor, computed from the actual Demand values in this dataset -- not assumed or invented.</t>
  </si>
  <si>
    <t>Step 1</t>
  </si>
  <si>
    <t>Overall average Demand across all 777 rows = 1094.66</t>
  </si>
  <si>
    <t>Step 2</t>
  </si>
  <si>
    <t>Group rows by calendar month (Jan-Dec, pooling both years) and average Demand within each month</t>
  </si>
  <si>
    <t>Step 3</t>
  </si>
  <si>
    <t>Seasonal Factor for month M = (average Demand in month M) / (overall average Demand)</t>
  </si>
  <si>
    <t>Step 4</t>
  </si>
  <si>
    <t>Every date is assigned its calendar month's factor (e.g. every March date gets March's factor)</t>
  </si>
  <si>
    <t>Month</t>
  </si>
  <si>
    <t>Avg Demand</t>
  </si>
  <si>
    <t>Rows (n)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</si>
  <si>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</si>
  <si>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</si>
  <si>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</si>
  <si>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</si>
  <si>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</si>
  <si>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</si>
  <si>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</si>
  <si>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</si>
  <si>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</si>
  <si>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</si>
  <si>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</si>
  <si>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</si>
  <si>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Weighted average (sanity check)</t>
  </si>
  <si>
    <t>Product ID</t>
  </si>
  <si>
    <t>Item_Category</t>
  </si>
  <si>
    <t>Office Supplies</t>
  </si>
  <si>
    <t>MRO</t>
  </si>
  <si>
    <t>Packaging</t>
  </si>
  <si>
    <t>Raw Materials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</si>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</sst>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/mm/dd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Helvetica Neue"/>
      <family val="2"/>
    </font>
    <font>
      <b/>
      <sz val="13"/>
      <name val="Calibri"/>
      <family val="2"/>
    </font>
    <font>
      <i/>
      <sz val="10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i/>
      <sz val="12"/>
      <name val="Calibri"/>
      <family val="2"/>
    </font>
    <font>
      <sz val="12"/>
      <color rgb="FF000000"/>
      <name val="Calibri"/>
      <family val="2"/>
    </font>
    <font>
      <b/>
      <sz val="10"/>
      <color theme="0"/>
      <name val="Helvetica Neue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9E1F2"/>
        <bgColor rgb="FFD9E1F2"/>
      </patternFill>
    </fill>
    <fill>
      <patternFill patternType="solid">
        <fgColor rgb="FF2E3A46"/>
        <bgColor rgb="FF2E3A46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3" borderId="2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2" borderId="1" xfId="0" applyFill="1" applyBorder="1"/>
    <xf numFmtId="0" fontId="0" fillId="0" borderId="1" xfId="0" applyBorder="1"/>
    <xf numFmtId="0" fontId="0" fillId="2" borderId="3" xfId="0" applyFill="1" applyBorder="1"/>
    <xf numFmtId="0" fontId="4" fillId="0" borderId="0" xfId="0" applyFont="1" applyAlignment="1">
      <alignment vertical="top" wrapText="1"/>
    </xf>
    <xf numFmtId="0" fontId="0" fillId="0" borderId="0" xfId="0"/>
    <xf numFmtId="0" fontId="3" fillId="0" borderId="0" xfId="0" applyFont="1"/>
  </cellXfs>
  <cellStyles count="1">
    <cellStyle name="Normal" xfId="0" builtinId="0"/>
  </cellStyles>
  <dxfs count="11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/mm/dd"/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/mm/dd"/>
      <fill>
        <patternFill patternType="solid">
          <fgColor rgb="FFD9E1F2"/>
          <bgColor rgb="FFD9E1F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rgb="FF8EA9DB"/>
        </top>
        <bottom style="thin">
          <color rgb="FF8EA9DB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Table Style 1" pivot="0" count="0" xr9:uid="{B004ACE1-D7F1-D34B-9DCF-0A85B8F7AEF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F43066C-1973-E541-B19C-7560748FB930}" name="Table6" displayName="Table6" ref="A1:F778" totalsRowShown="0" headerRowDxfId="10" dataDxfId="9">
  <autoFilter ref="A1:F778" xr:uid="{1F43066C-1973-E541-B19C-7560748FB930}"/>
  <tableColumns count="6">
    <tableColumn id="1" xr3:uid="{2F548B36-5E6E-5C49-B408-B481EDB62574}" name="Date" dataDxfId="8"/>
    <tableColumn id="7" xr3:uid="{E39CCA48-0529-C147-B532-3B7ED6FD8CBC}" name="Product ID" dataDxfId="7">
      <calculatedColumnFormula array="1">_xlfn.IFS(G2="Electronics","P001", G2="MRO","P002", G2="Office Supplies","P003", G2="Packaging","P004", G2="Raw Materials","P005")</calculatedColumnFormula>
    </tableColumn>
    <tableColumn id="2" xr3:uid="{299C9BC4-3B05-AF4D-A06E-9FD927359461}" name="Demand" dataDxfId="6"/>
    <tableColumn id="3" xr3:uid="{98358DF5-9B6F-1F41-A2FF-B00AB05C39EB}" name="Price" dataDxfId="5"/>
    <tableColumn id="4" xr3:uid="{78A4778D-148B-B046-B658-5303CA53A9AA}" name="Seasonal Factor" dataDxfId="4"/>
    <tableColumn id="5" xr3:uid="{1BE886F2-23C3-654A-BB89-06B7A4B7E2B5}" name="Promotion" data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040C82-DE96-3D4D-A874-1378B2169884}" name="Table1" displayName="Table1" ref="G1:G778" totalsRowShown="0" dataDxfId="2" tableBorderDxfId="1">
  <autoFilter ref="G1:G778" xr:uid="{59040C82-DE96-3D4D-A874-1378B2169884}"/>
  <tableColumns count="1">
    <tableColumn id="1" xr3:uid="{D8B861A0-4CCF-B448-A5E8-0F15743CE082}" name="Item_Category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8"/>
  <sheetViews>
    <sheetView tabSelected="1" workbookViewId="0">
      <selection activeCell="I11" sqref="I11"/>
    </sheetView>
  </sheetViews>
  <sheetFormatPr baseColWidth="10" defaultRowHeight="16" x14ac:dyDescent="0.2"/>
  <cols>
    <col min="1" max="1" width="10.5" style="1" bestFit="1" customWidth="1"/>
    <col min="2" max="2" width="14.33203125" bestFit="1" customWidth="1"/>
    <col min="3" max="3" width="13.1640625" bestFit="1" customWidth="1"/>
    <col min="4" max="4" width="10.1640625" bestFit="1" customWidth="1"/>
    <col min="5" max="5" width="19.33203125" bestFit="1" customWidth="1"/>
    <col min="6" max="6" width="14.6640625" bestFit="1" customWidth="1"/>
    <col min="7" max="7" width="15.5" customWidth="1"/>
  </cols>
  <sheetData>
    <row r="1" spans="1:7" x14ac:dyDescent="0.2">
      <c r="A1" s="5" t="s">
        <v>0</v>
      </c>
      <c r="B1" s="5" t="s">
        <v>33</v>
      </c>
      <c r="C1" s="6" t="s">
        <v>1</v>
      </c>
      <c r="D1" s="6" t="s">
        <v>2</v>
      </c>
      <c r="E1" s="12" t="s">
        <v>3</v>
      </c>
      <c r="F1" s="6" t="s">
        <v>4</v>
      </c>
      <c r="G1" t="s">
        <v>34</v>
      </c>
    </row>
    <row r="2" spans="1:7" x14ac:dyDescent="0.2">
      <c r="A2" s="7">
        <v>45216</v>
      </c>
      <c r="B2" s="13" t="str" cm="1">
        <f t="array" ref="B2">_xlfn.IFS(G2="Electronics","P001", G2="MRO","P002", G2="Office Supplies","P003", G2="Packaging","P004", G2="Raw Materials","P005")</f>
        <v>P003</v>
      </c>
      <c r="C2" s="8">
        <v>1176</v>
      </c>
      <c r="D2" s="8">
        <v>17.809999999999999</v>
      </c>
      <c r="E2" s="9">
        <v>0.94299999999999995</v>
      </c>
      <c r="F2" s="8" t="s">
        <v>5</v>
      </c>
      <c r="G2" s="15" t="s">
        <v>35</v>
      </c>
    </row>
    <row r="3" spans="1:7" x14ac:dyDescent="0.2">
      <c r="A3" s="10">
        <v>44676</v>
      </c>
      <c r="B3" s="14" t="str" cm="1">
        <f t="array" ref="B3">_xlfn.IFS(G3="Electronics","P001", G3="MRO","P002", G3="Office Supplies","P003", G3="Packaging","P004", G3="Raw Materials","P005")</f>
        <v>P003</v>
      </c>
      <c r="C3" s="11">
        <v>1509</v>
      </c>
      <c r="D3" s="11">
        <v>37.340000000000003</v>
      </c>
      <c r="E3" s="9">
        <v>1.032</v>
      </c>
      <c r="F3" s="11" t="s">
        <v>5</v>
      </c>
      <c r="G3" s="16" t="s">
        <v>35</v>
      </c>
    </row>
    <row r="4" spans="1:7" x14ac:dyDescent="0.2">
      <c r="A4" s="7">
        <v>44587</v>
      </c>
      <c r="B4" s="13" t="str" cm="1">
        <f t="array" ref="B4">_xlfn.IFS(G4="Electronics","P001", G4="MRO","P002", G4="Office Supplies","P003", G4="Packaging","P004", G4="Raw Materials","P005")</f>
        <v>P002</v>
      </c>
      <c r="C4" s="8">
        <v>910</v>
      </c>
      <c r="D4" s="8">
        <v>92.26</v>
      </c>
      <c r="E4" s="9">
        <v>0.999</v>
      </c>
      <c r="F4" s="8" t="s">
        <v>5</v>
      </c>
      <c r="G4" s="15" t="s">
        <v>36</v>
      </c>
    </row>
    <row r="5" spans="1:7" x14ac:dyDescent="0.2">
      <c r="A5" s="10">
        <v>44843</v>
      </c>
      <c r="B5" s="14" t="str" cm="1">
        <f t="array" ref="B5">_xlfn.IFS(G5="Electronics","P001", G5="MRO","P002", G5="Office Supplies","P003", G5="Packaging","P004", G5="Raw Materials","P005")</f>
        <v>P004</v>
      </c>
      <c r="C5" s="11">
        <v>1344</v>
      </c>
      <c r="D5" s="11">
        <v>95.52</v>
      </c>
      <c r="E5" s="9">
        <v>0.94299999999999995</v>
      </c>
      <c r="F5" s="11" t="s">
        <v>5</v>
      </c>
      <c r="G5" s="16" t="s">
        <v>37</v>
      </c>
    </row>
    <row r="6" spans="1:7" x14ac:dyDescent="0.2">
      <c r="A6" s="7">
        <v>44812</v>
      </c>
      <c r="B6" s="13" t="str" cm="1">
        <f t="array" ref="B6">_xlfn.IFS(G6="Electronics","P001", G6="MRO","P002", G6="Office Supplies","P003", G6="Packaging","P004", G6="Raw Materials","P005")</f>
        <v>P005</v>
      </c>
      <c r="C6" s="8">
        <v>1180</v>
      </c>
      <c r="D6" s="8">
        <v>60.53</v>
      </c>
      <c r="E6" s="9">
        <v>0.98099999999999998</v>
      </c>
      <c r="F6" s="8" t="s">
        <v>6</v>
      </c>
      <c r="G6" s="15" t="s">
        <v>38</v>
      </c>
    </row>
    <row r="7" spans="1:7" x14ac:dyDescent="0.2">
      <c r="A7" s="10">
        <v>44790</v>
      </c>
      <c r="B7" s="13" t="str" cm="1">
        <f t="array" ref="B7">_xlfn.IFS(G7="Electronics","P001", G7="MRO","P002", G7="Office Supplies","P003", G7="Packaging","P004", G7="Raw Materials","P005")</f>
        <v>P002</v>
      </c>
      <c r="C7" s="11">
        <v>1145</v>
      </c>
      <c r="D7" s="11">
        <v>63.57</v>
      </c>
      <c r="E7" s="9">
        <v>0.96899999999999997</v>
      </c>
      <c r="F7" s="11" t="s">
        <v>5</v>
      </c>
      <c r="G7" s="16" t="s">
        <v>36</v>
      </c>
    </row>
    <row r="8" spans="1:7" x14ac:dyDescent="0.2">
      <c r="A8" s="7">
        <v>44704</v>
      </c>
      <c r="B8" s="14" t="str" cm="1">
        <f t="array" ref="B8">_xlfn.IFS(G8="Electronics","P001", G8="MRO","P002", G8="Office Supplies","P003", G8="Packaging","P004", G8="Raw Materials","P005")</f>
        <v>P002</v>
      </c>
      <c r="C8" s="8">
        <v>1774</v>
      </c>
      <c r="D8" s="8">
        <v>47.82</v>
      </c>
      <c r="E8" s="9">
        <v>0.98799999999999999</v>
      </c>
      <c r="F8" s="8" t="s">
        <v>6</v>
      </c>
      <c r="G8" s="15" t="s">
        <v>36</v>
      </c>
    </row>
    <row r="9" spans="1:7" x14ac:dyDescent="0.2">
      <c r="A9" s="10">
        <v>44666</v>
      </c>
      <c r="B9" s="13" t="str" cm="1">
        <f t="array" ref="B9">_xlfn.IFS(G9="Electronics","P001", G9="MRO","P002", G9="Office Supplies","P003", G9="Packaging","P004", G9="Raw Materials","P005")</f>
        <v>P002</v>
      </c>
      <c r="C9" s="11">
        <v>1094</v>
      </c>
      <c r="D9" s="11">
        <v>32.78</v>
      </c>
      <c r="E9" s="9">
        <v>1.032</v>
      </c>
      <c r="F9" s="11" t="s">
        <v>5</v>
      </c>
      <c r="G9" s="16" t="s">
        <v>36</v>
      </c>
    </row>
    <row r="10" spans="1:7" x14ac:dyDescent="0.2">
      <c r="A10" s="7">
        <v>45254</v>
      </c>
      <c r="B10" s="14" t="str" cm="1">
        <f t="array" ref="B10">_xlfn.IFS(G10="Electronics","P001", G10="MRO","P002", G10="Office Supplies","P003", G10="Packaging","P004", G10="Raw Materials","P005")</f>
        <v>P005</v>
      </c>
      <c r="C10" s="8">
        <v>1688</v>
      </c>
      <c r="D10" s="8">
        <v>39.89</v>
      </c>
      <c r="E10" s="9">
        <v>0.95299999999999996</v>
      </c>
      <c r="F10" s="8" t="s">
        <v>5</v>
      </c>
      <c r="G10" s="15" t="s">
        <v>38</v>
      </c>
    </row>
    <row r="11" spans="1:7" x14ac:dyDescent="0.2">
      <c r="A11" s="10">
        <v>45120</v>
      </c>
      <c r="B11" s="13" t="str" cm="1">
        <f t="array" ref="B11">_xlfn.IFS(G11="Electronics","P001", G11="MRO","P002", G11="Office Supplies","P003", G11="Packaging","P004", G11="Raw Materials","P005")</f>
        <v>P005</v>
      </c>
      <c r="C11" s="11">
        <v>171</v>
      </c>
      <c r="D11" s="11">
        <v>70.2</v>
      </c>
      <c r="E11" s="9">
        <v>0.99199999999999999</v>
      </c>
      <c r="F11" s="11" t="s">
        <v>5</v>
      </c>
      <c r="G11" s="16" t="s">
        <v>38</v>
      </c>
    </row>
    <row r="12" spans="1:7" x14ac:dyDescent="0.2">
      <c r="A12" s="7">
        <v>44651</v>
      </c>
      <c r="B12" s="13" t="str" cm="1">
        <f t="array" ref="B12">_xlfn.IFS(G12="Electronics","P001", G12="MRO","P002", G12="Office Supplies","P003", G12="Packaging","P004", G12="Raw Materials","P005")</f>
        <v>P005</v>
      </c>
      <c r="C12" s="8">
        <v>5000</v>
      </c>
      <c r="D12" s="8">
        <v>73.680000000000007</v>
      </c>
      <c r="E12" s="9">
        <v>1.115</v>
      </c>
      <c r="F12" s="8" t="s">
        <v>5</v>
      </c>
      <c r="G12" s="15" t="s">
        <v>38</v>
      </c>
    </row>
    <row r="13" spans="1:7" x14ac:dyDescent="0.2">
      <c r="A13" s="10">
        <v>45166</v>
      </c>
      <c r="B13" s="14" t="str" cm="1">
        <f t="array" ref="B13">_xlfn.IFS(G13="Electronics","P001", G13="MRO","P002", G13="Office Supplies","P003", G13="Packaging","P004", G13="Raw Materials","P005")</f>
        <v>P005</v>
      </c>
      <c r="C13" s="11">
        <v>5000</v>
      </c>
      <c r="D13" s="11">
        <v>86.58</v>
      </c>
      <c r="E13" s="9">
        <v>0.96899999999999997</v>
      </c>
      <c r="F13" s="11" t="s">
        <v>5</v>
      </c>
      <c r="G13" s="16" t="s">
        <v>38</v>
      </c>
    </row>
    <row r="14" spans="1:7" x14ac:dyDescent="0.2">
      <c r="A14" s="7">
        <v>44994</v>
      </c>
      <c r="B14" s="13" t="str" cm="1">
        <f t="array" ref="B14">_xlfn.IFS(G14="Electronics","P001", G14="MRO","P002", G14="Office Supplies","P003", G14="Packaging","P004", G14="Raw Materials","P005")</f>
        <v>P001</v>
      </c>
      <c r="C14" s="8">
        <v>5000</v>
      </c>
      <c r="D14" s="8">
        <v>74.86</v>
      </c>
      <c r="E14" s="9">
        <v>1.115</v>
      </c>
      <c r="F14" s="8" t="s">
        <v>5</v>
      </c>
      <c r="G14" s="15" t="s">
        <v>39</v>
      </c>
    </row>
    <row r="15" spans="1:7" x14ac:dyDescent="0.2">
      <c r="A15" s="10">
        <v>44594</v>
      </c>
      <c r="B15" s="14" t="str" cm="1">
        <f t="array" ref="B15">_xlfn.IFS(G15="Electronics","P001", G15="MRO","P002", G15="Office Supplies","P003", G15="Packaging","P004", G15="Raw Materials","P005")</f>
        <v>P002</v>
      </c>
      <c r="C15" s="11">
        <v>5000</v>
      </c>
      <c r="D15" s="11">
        <v>16.88</v>
      </c>
      <c r="E15" s="9">
        <v>1.0920000000000001</v>
      </c>
      <c r="F15" s="11" t="s">
        <v>5</v>
      </c>
      <c r="G15" s="16" t="s">
        <v>36</v>
      </c>
    </row>
    <row r="16" spans="1:7" x14ac:dyDescent="0.2">
      <c r="A16" s="7">
        <v>44592</v>
      </c>
      <c r="B16" s="13" t="str" cm="1">
        <f t="array" ref="B16">_xlfn.IFS(G16="Electronics","P001", G16="MRO","P002", G16="Office Supplies","P003", G16="Packaging","P004", G16="Raw Materials","P005")</f>
        <v>P001</v>
      </c>
      <c r="C16" s="8">
        <v>5000</v>
      </c>
      <c r="D16" s="8">
        <v>48.45</v>
      </c>
      <c r="E16" s="9">
        <v>0.999</v>
      </c>
      <c r="F16" s="8" t="s">
        <v>5</v>
      </c>
      <c r="G16" s="15" t="s">
        <v>39</v>
      </c>
    </row>
    <row r="17" spans="1:7" x14ac:dyDescent="0.2">
      <c r="A17" s="10">
        <v>44657</v>
      </c>
      <c r="B17" s="13" t="str" cm="1">
        <f t="array" ref="B17">_xlfn.IFS(G17="Electronics","P001", G17="MRO","P002", G17="Office Supplies","P003", G17="Packaging","P004", G17="Raw Materials","P005")</f>
        <v>P004</v>
      </c>
      <c r="C17" s="11">
        <v>5000</v>
      </c>
      <c r="D17" s="11">
        <v>15.12</v>
      </c>
      <c r="E17" s="9">
        <v>1.032</v>
      </c>
      <c r="F17" s="11" t="s">
        <v>5</v>
      </c>
      <c r="G17" s="16" t="s">
        <v>37</v>
      </c>
    </row>
    <row r="18" spans="1:7" x14ac:dyDescent="0.2">
      <c r="A18" s="7">
        <v>44785</v>
      </c>
      <c r="B18" s="14" t="str" cm="1">
        <f t="array" ref="B18">_xlfn.IFS(G18="Electronics","P001", G18="MRO","P002", G18="Office Supplies","P003", G18="Packaging","P004", G18="Raw Materials","P005")</f>
        <v>P002</v>
      </c>
      <c r="C18" s="8">
        <v>1173</v>
      </c>
      <c r="D18" s="8">
        <v>55.49</v>
      </c>
      <c r="E18" s="9">
        <v>0.96899999999999997</v>
      </c>
      <c r="F18" s="8" t="s">
        <v>6</v>
      </c>
      <c r="G18" s="15" t="s">
        <v>36</v>
      </c>
    </row>
    <row r="19" spans="1:7" x14ac:dyDescent="0.2">
      <c r="A19" s="10">
        <v>44800</v>
      </c>
      <c r="B19" s="13" t="str" cm="1">
        <f t="array" ref="B19">_xlfn.IFS(G19="Electronics","P001", G19="MRO","P002", G19="Office Supplies","P003", G19="Packaging","P004", G19="Raw Materials","P005")</f>
        <v>P005</v>
      </c>
      <c r="C19" s="11">
        <v>921</v>
      </c>
      <c r="D19" s="11">
        <v>50.61</v>
      </c>
      <c r="E19" s="9">
        <v>0.96899999999999997</v>
      </c>
      <c r="F19" s="11" t="s">
        <v>5</v>
      </c>
      <c r="G19" s="16" t="s">
        <v>38</v>
      </c>
    </row>
    <row r="20" spans="1:7" x14ac:dyDescent="0.2">
      <c r="A20" s="7">
        <v>45079</v>
      </c>
      <c r="B20" s="14" t="str" cm="1">
        <f t="array" ref="B20">_xlfn.IFS(G20="Electronics","P001", G20="MRO","P002", G20="Office Supplies","P003", G20="Packaging","P004", G20="Raw Materials","P005")</f>
        <v>P005</v>
      </c>
      <c r="C20" s="8">
        <v>1737</v>
      </c>
      <c r="D20" s="8">
        <v>87.37</v>
      </c>
      <c r="E20" s="9">
        <v>0.89100000000000001</v>
      </c>
      <c r="F20" s="8" t="s">
        <v>5</v>
      </c>
      <c r="G20" s="15" t="s">
        <v>38</v>
      </c>
    </row>
    <row r="21" spans="1:7" x14ac:dyDescent="0.2">
      <c r="A21" s="10">
        <v>45178</v>
      </c>
      <c r="B21" s="13" t="str" cm="1">
        <f t="array" ref="B21">_xlfn.IFS(G21="Electronics","P001", G21="MRO","P002", G21="Office Supplies","P003", G21="Packaging","P004", G21="Raw Materials","P005")</f>
        <v>P005</v>
      </c>
      <c r="C21" s="11">
        <v>180</v>
      </c>
      <c r="D21" s="11">
        <v>38.89</v>
      </c>
      <c r="E21" s="9">
        <v>0.98099999999999998</v>
      </c>
      <c r="F21" s="11" t="s">
        <v>6</v>
      </c>
      <c r="G21" s="16" t="s">
        <v>38</v>
      </c>
    </row>
    <row r="22" spans="1:7" x14ac:dyDescent="0.2">
      <c r="A22" s="7">
        <v>44589</v>
      </c>
      <c r="B22" s="13" t="str" cm="1">
        <f t="array" ref="B22">_xlfn.IFS(G22="Electronics","P001", G22="MRO","P002", G22="Office Supplies","P003", G22="Packaging","P004", G22="Raw Materials","P005")</f>
        <v>P001</v>
      </c>
      <c r="C22" s="8">
        <v>1735</v>
      </c>
      <c r="D22" s="8">
        <v>19.690000000000001</v>
      </c>
      <c r="E22" s="9">
        <v>0.999</v>
      </c>
      <c r="F22" s="8" t="s">
        <v>5</v>
      </c>
      <c r="G22" s="15" t="s">
        <v>39</v>
      </c>
    </row>
    <row r="23" spans="1:7" x14ac:dyDescent="0.2">
      <c r="A23" s="10">
        <v>45136</v>
      </c>
      <c r="B23" s="14" t="str" cm="1">
        <f t="array" ref="B23">_xlfn.IFS(G23="Electronics","P001", G23="MRO","P002", G23="Office Supplies","P003", G23="Packaging","P004", G23="Raw Materials","P005")</f>
        <v>P005</v>
      </c>
      <c r="C23" s="11">
        <v>1382</v>
      </c>
      <c r="D23" s="11">
        <v>23.75</v>
      </c>
      <c r="E23" s="9">
        <v>0.99199999999999999</v>
      </c>
      <c r="F23" s="11" t="s">
        <v>5</v>
      </c>
      <c r="G23" s="16" t="s">
        <v>38</v>
      </c>
    </row>
    <row r="24" spans="1:7" x14ac:dyDescent="0.2">
      <c r="A24" s="7">
        <v>44765</v>
      </c>
      <c r="B24" s="13" t="str" cm="1">
        <f t="array" ref="B24">_xlfn.IFS(G24="Electronics","P001", G24="MRO","P002", G24="Office Supplies","P003", G24="Packaging","P004", G24="Raw Materials","P005")</f>
        <v>P002</v>
      </c>
      <c r="C24" s="8">
        <v>819</v>
      </c>
      <c r="D24" s="8">
        <v>77.03</v>
      </c>
      <c r="E24" s="9">
        <v>0.99199999999999999</v>
      </c>
      <c r="F24" s="8" t="s">
        <v>5</v>
      </c>
      <c r="G24" s="15" t="s">
        <v>36</v>
      </c>
    </row>
    <row r="25" spans="1:7" x14ac:dyDescent="0.2">
      <c r="A25" s="10">
        <v>45227</v>
      </c>
      <c r="B25" s="14" t="str" cm="1">
        <f t="array" ref="B25">_xlfn.IFS(G25="Electronics","P001", G25="MRO","P002", G25="Office Supplies","P003", G25="Packaging","P004", G25="Raw Materials","P005")</f>
        <v>P003</v>
      </c>
      <c r="C25" s="11">
        <v>393</v>
      </c>
      <c r="D25" s="11">
        <v>66.31</v>
      </c>
      <c r="E25" s="9">
        <v>0.94299999999999995</v>
      </c>
      <c r="F25" s="11" t="s">
        <v>6</v>
      </c>
      <c r="G25" s="16" t="s">
        <v>35</v>
      </c>
    </row>
    <row r="26" spans="1:7" x14ac:dyDescent="0.2">
      <c r="A26" s="7">
        <v>45280</v>
      </c>
      <c r="B26" s="13" t="str" cm="1">
        <f t="array" ref="B26">_xlfn.IFS(G26="Electronics","P001", G26="MRO","P002", G26="Office Supplies","P003", G26="Packaging","P004", G26="Raw Materials","P005")</f>
        <v>P002</v>
      </c>
      <c r="C26" s="8">
        <v>1565</v>
      </c>
      <c r="D26" s="8">
        <v>20.09</v>
      </c>
      <c r="E26" s="9">
        <v>1.032</v>
      </c>
      <c r="F26" s="8" t="s">
        <v>5</v>
      </c>
      <c r="G26" s="15" t="s">
        <v>36</v>
      </c>
    </row>
    <row r="27" spans="1:7" x14ac:dyDescent="0.2">
      <c r="A27" s="10">
        <v>45120</v>
      </c>
      <c r="B27" s="13" t="str" cm="1">
        <f t="array" ref="B27">_xlfn.IFS(G27="Electronics","P001", G27="MRO","P002", G27="Office Supplies","P003", G27="Packaging","P004", G27="Raw Materials","P005")</f>
        <v>P004</v>
      </c>
      <c r="C27" s="11">
        <v>1487</v>
      </c>
      <c r="D27" s="11">
        <v>17.239999999999998</v>
      </c>
      <c r="E27" s="9">
        <v>0.99199999999999999</v>
      </c>
      <c r="F27" s="11" t="s">
        <v>5</v>
      </c>
      <c r="G27" s="16" t="s">
        <v>37</v>
      </c>
    </row>
    <row r="28" spans="1:7" x14ac:dyDescent="0.2">
      <c r="A28" s="7">
        <v>44991</v>
      </c>
      <c r="B28" s="14" t="str" cm="1">
        <f t="array" ref="B28">_xlfn.IFS(G28="Electronics","P001", G28="MRO","P002", G28="Office Supplies","P003", G28="Packaging","P004", G28="Raw Materials","P005")</f>
        <v>P002</v>
      </c>
      <c r="C28" s="8">
        <v>855</v>
      </c>
      <c r="D28" s="8">
        <v>67.16</v>
      </c>
      <c r="E28" s="9">
        <v>1.115</v>
      </c>
      <c r="F28" s="8" t="s">
        <v>5</v>
      </c>
      <c r="G28" s="15" t="s">
        <v>36</v>
      </c>
    </row>
    <row r="29" spans="1:7" x14ac:dyDescent="0.2">
      <c r="A29" s="10">
        <v>44787</v>
      </c>
      <c r="B29" s="13" t="str" cm="1">
        <f t="array" ref="B29">_xlfn.IFS(G29="Electronics","P001", G29="MRO","P002", G29="Office Supplies","P003", G29="Packaging","P004", G29="Raw Materials","P005")</f>
        <v>P005</v>
      </c>
      <c r="C29" s="11">
        <v>435</v>
      </c>
      <c r="D29" s="11">
        <v>15.84</v>
      </c>
      <c r="E29" s="9">
        <v>0.96899999999999997</v>
      </c>
      <c r="F29" s="11" t="s">
        <v>5</v>
      </c>
      <c r="G29" s="16" t="s">
        <v>38</v>
      </c>
    </row>
    <row r="30" spans="1:7" x14ac:dyDescent="0.2">
      <c r="A30" s="7">
        <v>45021</v>
      </c>
      <c r="B30" s="14" t="str" cm="1">
        <f t="array" ref="B30">_xlfn.IFS(G30="Electronics","P001", G30="MRO","P002", G30="Office Supplies","P003", G30="Packaging","P004", G30="Raw Materials","P005")</f>
        <v>P002</v>
      </c>
      <c r="C30" s="8">
        <v>1265</v>
      </c>
      <c r="D30" s="8">
        <v>79.47</v>
      </c>
      <c r="E30" s="9">
        <v>1.032</v>
      </c>
      <c r="F30" s="8" t="s">
        <v>5</v>
      </c>
      <c r="G30" s="15" t="s">
        <v>36</v>
      </c>
    </row>
    <row r="31" spans="1:7" x14ac:dyDescent="0.2">
      <c r="A31" s="10">
        <v>45165</v>
      </c>
      <c r="B31" s="13" t="str" cm="1">
        <f t="array" ref="B31">_xlfn.IFS(G31="Electronics","P001", G31="MRO","P002", G31="Office Supplies","P003", G31="Packaging","P004", G31="Raw Materials","P005")</f>
        <v>P002</v>
      </c>
      <c r="C31" s="11">
        <v>1005</v>
      </c>
      <c r="D31" s="11">
        <v>73.31</v>
      </c>
      <c r="E31" s="9">
        <v>0.96899999999999997</v>
      </c>
      <c r="F31" s="11" t="s">
        <v>5</v>
      </c>
      <c r="G31" s="16" t="s">
        <v>36</v>
      </c>
    </row>
    <row r="32" spans="1:7" x14ac:dyDescent="0.2">
      <c r="A32" s="7">
        <v>44846</v>
      </c>
      <c r="B32" s="13" t="str" cm="1">
        <f t="array" ref="B32">_xlfn.IFS(G32="Electronics","P001", G32="MRO","P002", G32="Office Supplies","P003", G32="Packaging","P004", G32="Raw Materials","P005")</f>
        <v>P001</v>
      </c>
      <c r="C32" s="8">
        <v>326</v>
      </c>
      <c r="D32" s="8">
        <v>15.92</v>
      </c>
      <c r="E32" s="9">
        <v>0.94299999999999995</v>
      </c>
      <c r="F32" s="8" t="s">
        <v>6</v>
      </c>
      <c r="G32" s="15" t="s">
        <v>39</v>
      </c>
    </row>
    <row r="33" spans="1:7" x14ac:dyDescent="0.2">
      <c r="A33" s="10">
        <v>44568</v>
      </c>
      <c r="B33" s="14" t="str" cm="1">
        <f t="array" ref="B33">_xlfn.IFS(G33="Electronics","P001", G33="MRO","P002", G33="Office Supplies","P003", G33="Packaging","P004", G33="Raw Materials","P005")</f>
        <v>P003</v>
      </c>
      <c r="C33" s="11">
        <v>1234</v>
      </c>
      <c r="D33" s="11">
        <v>15.66</v>
      </c>
      <c r="E33" s="9">
        <v>0.999</v>
      </c>
      <c r="F33" s="11" t="s">
        <v>5</v>
      </c>
      <c r="G33" s="16" t="s">
        <v>35</v>
      </c>
    </row>
    <row r="34" spans="1:7" x14ac:dyDescent="0.2">
      <c r="A34" s="7">
        <v>44725</v>
      </c>
      <c r="B34" s="13" t="str" cm="1">
        <f t="array" ref="B34">_xlfn.IFS(G34="Electronics","P001", G34="MRO","P002", G34="Office Supplies","P003", G34="Packaging","P004", G34="Raw Materials","P005")</f>
        <v>P002</v>
      </c>
      <c r="C34" s="8">
        <v>509</v>
      </c>
      <c r="D34" s="8">
        <v>97.82</v>
      </c>
      <c r="E34" s="9">
        <v>0.89100000000000001</v>
      </c>
      <c r="F34" s="8" t="s">
        <v>5</v>
      </c>
      <c r="G34" s="15" t="s">
        <v>36</v>
      </c>
    </row>
    <row r="35" spans="1:7" x14ac:dyDescent="0.2">
      <c r="A35" s="10">
        <v>45276</v>
      </c>
      <c r="B35" s="14" t="str" cm="1">
        <f t="array" ref="B35">_xlfn.IFS(G35="Electronics","P001", G35="MRO","P002", G35="Office Supplies","P003", G35="Packaging","P004", G35="Raw Materials","P005")</f>
        <v>P004</v>
      </c>
      <c r="C35" s="11">
        <v>1387</v>
      </c>
      <c r="D35" s="11">
        <v>43.71</v>
      </c>
      <c r="E35" s="9">
        <v>1.032</v>
      </c>
      <c r="F35" s="11" t="s">
        <v>5</v>
      </c>
      <c r="G35" s="16" t="s">
        <v>37</v>
      </c>
    </row>
    <row r="36" spans="1:7" x14ac:dyDescent="0.2">
      <c r="A36" s="7">
        <v>44994</v>
      </c>
      <c r="B36" s="13" t="str" cm="1">
        <f t="array" ref="B36">_xlfn.IFS(G36="Electronics","P001", G36="MRO","P002", G36="Office Supplies","P003", G36="Packaging","P004", G36="Raw Materials","P005")</f>
        <v>P002</v>
      </c>
      <c r="C36" s="8">
        <v>71</v>
      </c>
      <c r="D36" s="8">
        <v>43.18</v>
      </c>
      <c r="E36" s="9">
        <v>1.115</v>
      </c>
      <c r="F36" s="8" t="s">
        <v>5</v>
      </c>
      <c r="G36" s="15" t="s">
        <v>36</v>
      </c>
    </row>
    <row r="37" spans="1:7" x14ac:dyDescent="0.2">
      <c r="A37" s="10">
        <v>44910</v>
      </c>
      <c r="B37" s="13" t="str" cm="1">
        <f t="array" ref="B37">_xlfn.IFS(G37="Electronics","P001", G37="MRO","P002", G37="Office Supplies","P003", G37="Packaging","P004", G37="Raw Materials","P005")</f>
        <v>P003</v>
      </c>
      <c r="C37" s="11">
        <v>302</v>
      </c>
      <c r="D37" s="11">
        <v>81.52</v>
      </c>
      <c r="E37" s="9">
        <v>1.032</v>
      </c>
      <c r="F37" s="11" t="s">
        <v>5</v>
      </c>
      <c r="G37" s="16" t="s">
        <v>35</v>
      </c>
    </row>
    <row r="38" spans="1:7" x14ac:dyDescent="0.2">
      <c r="A38" s="7">
        <v>44846</v>
      </c>
      <c r="B38" s="14" t="str" cm="1">
        <f t="array" ref="B38">_xlfn.IFS(G38="Electronics","P001", G38="MRO","P002", G38="Office Supplies","P003", G38="Packaging","P004", G38="Raw Materials","P005")</f>
        <v>P003</v>
      </c>
      <c r="C38" s="8">
        <v>797</v>
      </c>
      <c r="D38" s="8">
        <v>91.37</v>
      </c>
      <c r="E38" s="9">
        <v>0.94299999999999995</v>
      </c>
      <c r="F38" s="8" t="s">
        <v>5</v>
      </c>
      <c r="G38" s="15" t="s">
        <v>35</v>
      </c>
    </row>
    <row r="39" spans="1:7" x14ac:dyDescent="0.2">
      <c r="A39" s="10">
        <v>44721</v>
      </c>
      <c r="B39" s="13" t="str" cm="1">
        <f t="array" ref="B39">_xlfn.IFS(G39="Electronics","P001", G39="MRO","P002", G39="Office Supplies","P003", G39="Packaging","P004", G39="Raw Materials","P005")</f>
        <v>P003</v>
      </c>
      <c r="C39" s="11">
        <v>906</v>
      </c>
      <c r="D39" s="11">
        <v>90.9</v>
      </c>
      <c r="E39" s="9">
        <v>0.89100000000000001</v>
      </c>
      <c r="F39" s="11" t="s">
        <v>5</v>
      </c>
      <c r="G39" s="16" t="s">
        <v>35</v>
      </c>
    </row>
    <row r="40" spans="1:7" x14ac:dyDescent="0.2">
      <c r="A40" s="7">
        <v>44782</v>
      </c>
      <c r="B40" s="14" t="str" cm="1">
        <f t="array" ref="B40">_xlfn.IFS(G40="Electronics","P001", G40="MRO","P002", G40="Office Supplies","P003", G40="Packaging","P004", G40="Raw Materials","P005")</f>
        <v>P003</v>
      </c>
      <c r="C40" s="8">
        <v>1634</v>
      </c>
      <c r="D40" s="8">
        <v>76.150000000000006</v>
      </c>
      <c r="E40" s="9">
        <v>0.96899999999999997</v>
      </c>
      <c r="F40" s="8" t="s">
        <v>5</v>
      </c>
      <c r="G40" s="15" t="s">
        <v>35</v>
      </c>
    </row>
    <row r="41" spans="1:7" x14ac:dyDescent="0.2">
      <c r="A41" s="10">
        <v>44906</v>
      </c>
      <c r="B41" s="13" t="str" cm="1">
        <f t="array" ref="B41">_xlfn.IFS(G41="Electronics","P001", G41="MRO","P002", G41="Office Supplies","P003", G41="Packaging","P004", G41="Raw Materials","P005")</f>
        <v>P003</v>
      </c>
      <c r="C41" s="11">
        <v>524</v>
      </c>
      <c r="D41" s="11">
        <v>39.65</v>
      </c>
      <c r="E41" s="9">
        <v>1.032</v>
      </c>
      <c r="F41" s="11" t="s">
        <v>5</v>
      </c>
      <c r="G41" s="16" t="s">
        <v>35</v>
      </c>
    </row>
    <row r="42" spans="1:7" x14ac:dyDescent="0.2">
      <c r="A42" s="7">
        <v>44666</v>
      </c>
      <c r="B42" s="13" t="str" cm="1">
        <f t="array" ref="B42">_xlfn.IFS(G42="Electronics","P001", G42="MRO","P002", G42="Office Supplies","P003", G42="Packaging","P004", G42="Raw Materials","P005")</f>
        <v>P001</v>
      </c>
      <c r="C42" s="8">
        <v>1132</v>
      </c>
      <c r="D42" s="8">
        <v>15.36</v>
      </c>
      <c r="E42" s="9">
        <v>1.032</v>
      </c>
      <c r="F42" s="8" t="s">
        <v>5</v>
      </c>
      <c r="G42" s="15" t="s">
        <v>39</v>
      </c>
    </row>
    <row r="43" spans="1:7" x14ac:dyDescent="0.2">
      <c r="A43" s="10">
        <v>44656</v>
      </c>
      <c r="B43" s="14" t="str" cm="1">
        <f t="array" ref="B43">_xlfn.IFS(G43="Electronics","P001", G43="MRO","P002", G43="Office Supplies","P003", G43="Packaging","P004", G43="Raw Materials","P005")</f>
        <v>P003</v>
      </c>
      <c r="C43" s="11">
        <v>560</v>
      </c>
      <c r="D43" s="11">
        <v>77.87</v>
      </c>
      <c r="E43" s="9">
        <v>1.032</v>
      </c>
      <c r="F43" s="11" t="s">
        <v>6</v>
      </c>
      <c r="G43" s="16" t="s">
        <v>35</v>
      </c>
    </row>
    <row r="44" spans="1:7" x14ac:dyDescent="0.2">
      <c r="A44" s="7">
        <v>44951</v>
      </c>
      <c r="B44" s="13" t="str" cm="1">
        <f t="array" ref="B44">_xlfn.IFS(G44="Electronics","P001", G44="MRO","P002", G44="Office Supplies","P003", G44="Packaging","P004", G44="Raw Materials","P005")</f>
        <v>P001</v>
      </c>
      <c r="C44" s="8">
        <v>1755</v>
      </c>
      <c r="D44" s="8">
        <v>58.4</v>
      </c>
      <c r="E44" s="9">
        <v>0.999</v>
      </c>
      <c r="F44" s="8" t="s">
        <v>5</v>
      </c>
      <c r="G44" s="15" t="s">
        <v>39</v>
      </c>
    </row>
    <row r="45" spans="1:7" x14ac:dyDescent="0.2">
      <c r="A45" s="10">
        <v>44661</v>
      </c>
      <c r="B45" s="14" t="str" cm="1">
        <f t="array" ref="B45">_xlfn.IFS(G45="Electronics","P001", G45="MRO","P002", G45="Office Supplies","P003", G45="Packaging","P004", G45="Raw Materials","P005")</f>
        <v>P002</v>
      </c>
      <c r="C45" s="11">
        <v>1549</v>
      </c>
      <c r="D45" s="11">
        <v>42.42</v>
      </c>
      <c r="E45" s="9">
        <v>1.032</v>
      </c>
      <c r="F45" s="11" t="s">
        <v>5</v>
      </c>
      <c r="G45" s="16" t="s">
        <v>36</v>
      </c>
    </row>
    <row r="46" spans="1:7" x14ac:dyDescent="0.2">
      <c r="A46" s="7">
        <v>44929</v>
      </c>
      <c r="B46" s="13" t="str" cm="1">
        <f t="array" ref="B46">_xlfn.IFS(G46="Electronics","P001", G46="MRO","P002", G46="Office Supplies","P003", G46="Packaging","P004", G46="Raw Materials","P005")</f>
        <v>P002</v>
      </c>
      <c r="C46" s="8">
        <v>749</v>
      </c>
      <c r="D46" s="8">
        <v>94.16</v>
      </c>
      <c r="E46" s="9">
        <v>0.999</v>
      </c>
      <c r="F46" s="8" t="s">
        <v>5</v>
      </c>
      <c r="G46" s="15" t="s">
        <v>36</v>
      </c>
    </row>
    <row r="47" spans="1:7" x14ac:dyDescent="0.2">
      <c r="A47" s="10">
        <v>44914</v>
      </c>
      <c r="B47" s="13" t="str" cm="1">
        <f t="array" ref="B47">_xlfn.IFS(G47="Electronics","P001", G47="MRO","P002", G47="Office Supplies","P003", G47="Packaging","P004", G47="Raw Materials","P005")</f>
        <v>P001</v>
      </c>
      <c r="C47" s="11">
        <v>1025</v>
      </c>
      <c r="D47" s="11">
        <v>19.25</v>
      </c>
      <c r="E47" s="9">
        <v>1.032</v>
      </c>
      <c r="F47" s="11" t="s">
        <v>5</v>
      </c>
      <c r="G47" s="16" t="s">
        <v>39</v>
      </c>
    </row>
    <row r="48" spans="1:7" x14ac:dyDescent="0.2">
      <c r="A48" s="7">
        <v>45180</v>
      </c>
      <c r="B48" s="14" t="str" cm="1">
        <f t="array" ref="B48">_xlfn.IFS(G48="Electronics","P001", G48="MRO","P002", G48="Office Supplies","P003", G48="Packaging","P004", G48="Raw Materials","P005")</f>
        <v>P005</v>
      </c>
      <c r="C48" s="8">
        <v>1856</v>
      </c>
      <c r="D48" s="8">
        <v>50.81</v>
      </c>
      <c r="E48" s="9">
        <v>0.98099999999999998</v>
      </c>
      <c r="F48" s="8" t="s">
        <v>5</v>
      </c>
      <c r="G48" s="15" t="s">
        <v>38</v>
      </c>
    </row>
    <row r="49" spans="1:7" x14ac:dyDescent="0.2">
      <c r="A49" s="10">
        <v>44832</v>
      </c>
      <c r="B49" s="13" t="str" cm="1">
        <f t="array" ref="B49">_xlfn.IFS(G49="Electronics","P001", G49="MRO","P002", G49="Office Supplies","P003", G49="Packaging","P004", G49="Raw Materials","P005")</f>
        <v>P003</v>
      </c>
      <c r="C49" s="11">
        <v>239</v>
      </c>
      <c r="D49" s="11">
        <v>11.28</v>
      </c>
      <c r="E49" s="9">
        <v>0.98099999999999998</v>
      </c>
      <c r="F49" s="11" t="s">
        <v>5</v>
      </c>
      <c r="G49" s="16" t="s">
        <v>35</v>
      </c>
    </row>
    <row r="50" spans="1:7" x14ac:dyDescent="0.2">
      <c r="A50" s="7">
        <v>44606</v>
      </c>
      <c r="B50" s="14" t="str" cm="1">
        <f t="array" ref="B50">_xlfn.IFS(G50="Electronics","P001", G50="MRO","P002", G50="Office Supplies","P003", G50="Packaging","P004", G50="Raw Materials","P005")</f>
        <v>P003</v>
      </c>
      <c r="C50" s="8">
        <v>1007</v>
      </c>
      <c r="D50" s="8">
        <v>46.06</v>
      </c>
      <c r="E50" s="9">
        <v>1.0920000000000001</v>
      </c>
      <c r="F50" s="8" t="s">
        <v>5</v>
      </c>
      <c r="G50" s="15" t="s">
        <v>35</v>
      </c>
    </row>
    <row r="51" spans="1:7" x14ac:dyDescent="0.2">
      <c r="A51" s="10">
        <v>45032</v>
      </c>
      <c r="B51" s="13" t="str" cm="1">
        <f t="array" ref="B51">_xlfn.IFS(G51="Electronics","P001", G51="MRO","P002", G51="Office Supplies","P003", G51="Packaging","P004", G51="Raw Materials","P005")</f>
        <v>P002</v>
      </c>
      <c r="C51" s="11">
        <v>736</v>
      </c>
      <c r="D51" s="11">
        <v>15.33</v>
      </c>
      <c r="E51" s="9">
        <v>1.032</v>
      </c>
      <c r="F51" s="11" t="s">
        <v>5</v>
      </c>
      <c r="G51" s="16" t="s">
        <v>36</v>
      </c>
    </row>
    <row r="52" spans="1:7" x14ac:dyDescent="0.2">
      <c r="A52" s="7">
        <v>45111</v>
      </c>
      <c r="B52" s="13" t="str" cm="1">
        <f t="array" ref="B52">_xlfn.IFS(G52="Electronics","P001", G52="MRO","P002", G52="Office Supplies","P003", G52="Packaging","P004", G52="Raw Materials","P005")</f>
        <v>P001</v>
      </c>
      <c r="C52" s="8">
        <v>1007</v>
      </c>
      <c r="D52" s="8">
        <v>19.59</v>
      </c>
      <c r="E52" s="9">
        <v>0.99199999999999999</v>
      </c>
      <c r="F52" s="8" t="s">
        <v>5</v>
      </c>
      <c r="G52" s="15" t="s">
        <v>39</v>
      </c>
    </row>
    <row r="53" spans="1:7" x14ac:dyDescent="0.2">
      <c r="A53" s="10">
        <v>44689</v>
      </c>
      <c r="B53" s="14" t="str" cm="1">
        <f t="array" ref="B53">_xlfn.IFS(G53="Electronics","P001", G53="MRO","P002", G53="Office Supplies","P003", G53="Packaging","P004", G53="Raw Materials","P005")</f>
        <v>P003</v>
      </c>
      <c r="C53" s="11">
        <v>612</v>
      </c>
      <c r="D53" s="11">
        <v>19.75</v>
      </c>
      <c r="E53" s="9">
        <v>0.98799999999999999</v>
      </c>
      <c r="F53" s="11" t="s">
        <v>5</v>
      </c>
      <c r="G53" s="16" t="s">
        <v>35</v>
      </c>
    </row>
    <row r="54" spans="1:7" x14ac:dyDescent="0.2">
      <c r="A54" s="7">
        <v>44949</v>
      </c>
      <c r="B54" s="13" t="str" cm="1">
        <f t="array" ref="B54">_xlfn.IFS(G54="Electronics","P001", G54="MRO","P002", G54="Office Supplies","P003", G54="Packaging","P004", G54="Raw Materials","P005")</f>
        <v>P002</v>
      </c>
      <c r="C54" s="8">
        <v>1949</v>
      </c>
      <c r="D54" s="8">
        <v>63.26</v>
      </c>
      <c r="E54" s="9">
        <v>0.999</v>
      </c>
      <c r="F54" s="8" t="s">
        <v>6</v>
      </c>
      <c r="G54" s="15" t="s">
        <v>36</v>
      </c>
    </row>
    <row r="55" spans="1:7" x14ac:dyDescent="0.2">
      <c r="A55" s="10">
        <v>44642</v>
      </c>
      <c r="B55" s="14" t="str" cm="1">
        <f t="array" ref="B55">_xlfn.IFS(G55="Electronics","P001", G55="MRO","P002", G55="Office Supplies","P003", G55="Packaging","P004", G55="Raw Materials","P005")</f>
        <v>P003</v>
      </c>
      <c r="C55" s="11">
        <v>1640</v>
      </c>
      <c r="D55" s="11">
        <v>76.41</v>
      </c>
      <c r="E55" s="9">
        <v>1.115</v>
      </c>
      <c r="F55" s="11" t="s">
        <v>6</v>
      </c>
      <c r="G55" s="16" t="s">
        <v>35</v>
      </c>
    </row>
    <row r="56" spans="1:7" x14ac:dyDescent="0.2">
      <c r="A56" s="7">
        <v>45127</v>
      </c>
      <c r="B56" s="13" t="str" cm="1">
        <f t="array" ref="B56">_xlfn.IFS(G56="Electronics","P001", G56="MRO","P002", G56="Office Supplies","P003", G56="Packaging","P004", G56="Raw Materials","P005")</f>
        <v>P001</v>
      </c>
      <c r="C56" s="8">
        <v>1317</v>
      </c>
      <c r="D56" s="8">
        <v>60.52</v>
      </c>
      <c r="E56" s="9">
        <v>0.99199999999999999</v>
      </c>
      <c r="F56" s="8" t="s">
        <v>5</v>
      </c>
      <c r="G56" s="15" t="s">
        <v>39</v>
      </c>
    </row>
    <row r="57" spans="1:7" x14ac:dyDescent="0.2">
      <c r="A57" s="10">
        <v>44862</v>
      </c>
      <c r="B57" s="13" t="str" cm="1">
        <f t="array" ref="B57">_xlfn.IFS(G57="Electronics","P001", G57="MRO","P002", G57="Office Supplies","P003", G57="Packaging","P004", G57="Raw Materials","P005")</f>
        <v>P005</v>
      </c>
      <c r="C57" s="11">
        <v>881</v>
      </c>
      <c r="D57" s="11">
        <v>95.05</v>
      </c>
      <c r="E57" s="9">
        <v>0.94299999999999995</v>
      </c>
      <c r="F57" s="11" t="s">
        <v>5</v>
      </c>
      <c r="G57" s="16" t="s">
        <v>38</v>
      </c>
    </row>
    <row r="58" spans="1:7" x14ac:dyDescent="0.2">
      <c r="A58" s="7">
        <v>45205</v>
      </c>
      <c r="B58" s="14" t="str" cm="1">
        <f t="array" ref="B58">_xlfn.IFS(G58="Electronics","P001", G58="MRO","P002", G58="Office Supplies","P003", G58="Packaging","P004", G58="Raw Materials","P005")</f>
        <v>P004</v>
      </c>
      <c r="C58" s="8">
        <v>1578</v>
      </c>
      <c r="D58" s="8">
        <v>42.77</v>
      </c>
      <c r="E58" s="9">
        <v>0.94299999999999995</v>
      </c>
      <c r="F58" s="8" t="s">
        <v>5</v>
      </c>
      <c r="G58" s="15" t="s">
        <v>37</v>
      </c>
    </row>
    <row r="59" spans="1:7" x14ac:dyDescent="0.2">
      <c r="A59" s="10">
        <v>45195</v>
      </c>
      <c r="B59" s="13" t="str" cm="1">
        <f t="array" ref="B59">_xlfn.IFS(G59="Electronics","P001", G59="MRO","P002", G59="Office Supplies","P003", G59="Packaging","P004", G59="Raw Materials","P005")</f>
        <v>P002</v>
      </c>
      <c r="C59" s="11">
        <v>1204</v>
      </c>
      <c r="D59" s="11">
        <v>35.44</v>
      </c>
      <c r="E59" s="9">
        <v>0.98099999999999998</v>
      </c>
      <c r="F59" s="11" t="s">
        <v>5</v>
      </c>
      <c r="G59" s="16" t="s">
        <v>36</v>
      </c>
    </row>
    <row r="60" spans="1:7" x14ac:dyDescent="0.2">
      <c r="A60" s="7">
        <v>44932</v>
      </c>
      <c r="B60" s="14" t="str" cm="1">
        <f t="array" ref="B60">_xlfn.IFS(G60="Electronics","P001", G60="MRO","P002", G60="Office Supplies","P003", G60="Packaging","P004", G60="Raw Materials","P005")</f>
        <v>P002</v>
      </c>
      <c r="C60" s="8">
        <v>1558</v>
      </c>
      <c r="D60" s="8">
        <v>91.27</v>
      </c>
      <c r="E60" s="9">
        <v>0.999</v>
      </c>
      <c r="F60" s="8" t="s">
        <v>5</v>
      </c>
      <c r="G60" s="15" t="s">
        <v>36</v>
      </c>
    </row>
    <row r="61" spans="1:7" x14ac:dyDescent="0.2">
      <c r="A61" s="10">
        <v>45153</v>
      </c>
      <c r="B61" s="13" t="str" cm="1">
        <f t="array" ref="B61">_xlfn.IFS(G61="Electronics","P001", G61="MRO","P002", G61="Office Supplies","P003", G61="Packaging","P004", G61="Raw Materials","P005")</f>
        <v>P004</v>
      </c>
      <c r="C61" s="11">
        <v>1892</v>
      </c>
      <c r="D61" s="11">
        <v>28.81</v>
      </c>
      <c r="E61" s="9">
        <v>0.96899999999999997</v>
      </c>
      <c r="F61" s="11" t="s">
        <v>5</v>
      </c>
      <c r="G61" s="16" t="s">
        <v>37</v>
      </c>
    </row>
    <row r="62" spans="1:7" x14ac:dyDescent="0.2">
      <c r="A62" s="7">
        <v>44758</v>
      </c>
      <c r="B62" s="13" t="str" cm="1">
        <f t="array" ref="B62">_xlfn.IFS(G62="Electronics","P001", G62="MRO","P002", G62="Office Supplies","P003", G62="Packaging","P004", G62="Raw Materials","P005")</f>
        <v>P004</v>
      </c>
      <c r="C62" s="8">
        <v>696</v>
      </c>
      <c r="D62" s="8">
        <v>90.18</v>
      </c>
      <c r="E62" s="9">
        <v>0.99199999999999999</v>
      </c>
      <c r="F62" s="8" t="s">
        <v>5</v>
      </c>
      <c r="G62" s="15" t="s">
        <v>37</v>
      </c>
    </row>
    <row r="63" spans="1:7" x14ac:dyDescent="0.2">
      <c r="A63" s="10">
        <v>45283</v>
      </c>
      <c r="B63" s="14" t="str" cm="1">
        <f t="array" ref="B63">_xlfn.IFS(G63="Electronics","P001", G63="MRO","P002", G63="Office Supplies","P003", G63="Packaging","P004", G63="Raw Materials","P005")</f>
        <v>P002</v>
      </c>
      <c r="C63" s="11">
        <v>70</v>
      </c>
      <c r="D63" s="11">
        <v>11.04</v>
      </c>
      <c r="E63" s="9">
        <v>1.032</v>
      </c>
      <c r="F63" s="11" t="s">
        <v>5</v>
      </c>
      <c r="G63" s="16" t="s">
        <v>36</v>
      </c>
    </row>
    <row r="64" spans="1:7" x14ac:dyDescent="0.2">
      <c r="A64" s="7">
        <v>44633</v>
      </c>
      <c r="B64" s="13" t="str" cm="1">
        <f t="array" ref="B64">_xlfn.IFS(G64="Electronics","P001", G64="MRO","P002", G64="Office Supplies","P003", G64="Packaging","P004", G64="Raw Materials","P005")</f>
        <v>P005</v>
      </c>
      <c r="C64" s="8">
        <v>890</v>
      </c>
      <c r="D64" s="8">
        <v>93.14</v>
      </c>
      <c r="E64" s="9">
        <v>1.115</v>
      </c>
      <c r="F64" s="8" t="s">
        <v>5</v>
      </c>
      <c r="G64" s="15" t="s">
        <v>38</v>
      </c>
    </row>
    <row r="65" spans="1:7" x14ac:dyDescent="0.2">
      <c r="A65" s="10">
        <v>44608</v>
      </c>
      <c r="B65" s="14" t="str" cm="1">
        <f t="array" ref="B65">_xlfn.IFS(G65="Electronics","P001", G65="MRO","P002", G65="Office Supplies","P003", G65="Packaging","P004", G65="Raw Materials","P005")</f>
        <v>P002</v>
      </c>
      <c r="C65" s="11">
        <v>216</v>
      </c>
      <c r="D65" s="11">
        <v>12.31</v>
      </c>
      <c r="E65" s="9">
        <v>1.0920000000000001</v>
      </c>
      <c r="F65" s="11" t="s">
        <v>5</v>
      </c>
      <c r="G65" s="16" t="s">
        <v>36</v>
      </c>
    </row>
    <row r="66" spans="1:7" x14ac:dyDescent="0.2">
      <c r="A66" s="7">
        <v>45239</v>
      </c>
      <c r="B66" s="13" t="str" cm="1">
        <f t="array" ref="B66">_xlfn.IFS(G66="Electronics","P001", G66="MRO","P002", G66="Office Supplies","P003", G66="Packaging","P004", G66="Raw Materials","P005")</f>
        <v>P004</v>
      </c>
      <c r="C66" s="8">
        <v>1347</v>
      </c>
      <c r="D66" s="8">
        <v>94.3</v>
      </c>
      <c r="E66" s="9">
        <v>0.95299999999999996</v>
      </c>
      <c r="F66" s="8" t="s">
        <v>5</v>
      </c>
      <c r="G66" s="15" t="s">
        <v>37</v>
      </c>
    </row>
    <row r="67" spans="1:7" x14ac:dyDescent="0.2">
      <c r="A67" s="10">
        <v>44795</v>
      </c>
      <c r="B67" s="13" t="str" cm="1">
        <f t="array" ref="B67">_xlfn.IFS(G67="Electronics","P001", G67="MRO","P002", G67="Office Supplies","P003", G67="Packaging","P004", G67="Raw Materials","P005")</f>
        <v>P003</v>
      </c>
      <c r="C67" s="11">
        <v>437</v>
      </c>
      <c r="D67" s="11">
        <v>56.45</v>
      </c>
      <c r="E67" s="9">
        <v>0.96899999999999997</v>
      </c>
      <c r="F67" s="11" t="s">
        <v>6</v>
      </c>
      <c r="G67" s="16" t="s">
        <v>35</v>
      </c>
    </row>
    <row r="68" spans="1:7" x14ac:dyDescent="0.2">
      <c r="A68" s="7">
        <v>44858</v>
      </c>
      <c r="B68" s="14" t="str" cm="1">
        <f t="array" ref="B68">_xlfn.IFS(G68="Electronics","P001", G68="MRO","P002", G68="Office Supplies","P003", G68="Packaging","P004", G68="Raw Materials","P005")</f>
        <v>P001</v>
      </c>
      <c r="C68" s="8">
        <v>650</v>
      </c>
      <c r="D68" s="8">
        <v>88.28</v>
      </c>
      <c r="E68" s="9">
        <v>0.94299999999999995</v>
      </c>
      <c r="F68" s="8" t="s">
        <v>5</v>
      </c>
      <c r="G68" s="15" t="s">
        <v>39</v>
      </c>
    </row>
    <row r="69" spans="1:7" x14ac:dyDescent="0.2">
      <c r="A69" s="10">
        <v>44643</v>
      </c>
      <c r="B69" s="13" t="str" cm="1">
        <f t="array" ref="B69">_xlfn.IFS(G69="Electronics","P001", G69="MRO","P002", G69="Office Supplies","P003", G69="Packaging","P004", G69="Raw Materials","P005")</f>
        <v>P003</v>
      </c>
      <c r="C69" s="11">
        <v>365</v>
      </c>
      <c r="D69" s="11">
        <v>15.41</v>
      </c>
      <c r="E69" s="9">
        <v>1.115</v>
      </c>
      <c r="F69" s="11" t="s">
        <v>5</v>
      </c>
      <c r="G69" s="16" t="s">
        <v>35</v>
      </c>
    </row>
    <row r="70" spans="1:7" x14ac:dyDescent="0.2">
      <c r="A70" s="7">
        <v>44800</v>
      </c>
      <c r="B70" s="14" t="str" cm="1">
        <f t="array" ref="B70">_xlfn.IFS(G70="Electronics","P001", G70="MRO","P002", G70="Office Supplies","P003", G70="Packaging","P004", G70="Raw Materials","P005")</f>
        <v>P005</v>
      </c>
      <c r="C70" s="8">
        <v>63</v>
      </c>
      <c r="D70" s="8">
        <v>53.8</v>
      </c>
      <c r="E70" s="9">
        <v>0.96899999999999997</v>
      </c>
      <c r="F70" s="8" t="s">
        <v>5</v>
      </c>
      <c r="G70" s="15" t="s">
        <v>38</v>
      </c>
    </row>
    <row r="71" spans="1:7" x14ac:dyDescent="0.2">
      <c r="A71" s="10">
        <v>44665</v>
      </c>
      <c r="B71" s="13" t="str" cm="1">
        <f t="array" ref="B71">_xlfn.IFS(G71="Electronics","P001", G71="MRO","P002", G71="Office Supplies","P003", G71="Packaging","P004", G71="Raw Materials","P005")</f>
        <v>P002</v>
      </c>
      <c r="C71" s="11">
        <v>291</v>
      </c>
      <c r="D71" s="11">
        <v>87.02</v>
      </c>
      <c r="E71" s="9">
        <v>1.032</v>
      </c>
      <c r="F71" s="11" t="s">
        <v>5</v>
      </c>
      <c r="G71" s="16" t="s">
        <v>36</v>
      </c>
    </row>
    <row r="72" spans="1:7" x14ac:dyDescent="0.2">
      <c r="A72" s="7">
        <v>44951</v>
      </c>
      <c r="B72" s="13" t="str" cm="1">
        <f t="array" ref="B72">_xlfn.IFS(G72="Electronics","P001", G72="MRO","P002", G72="Office Supplies","P003", G72="Packaging","P004", G72="Raw Materials","P005")</f>
        <v>P002</v>
      </c>
      <c r="C72" s="8">
        <v>826</v>
      </c>
      <c r="D72" s="8">
        <v>57.18</v>
      </c>
      <c r="E72" s="9">
        <v>0.999</v>
      </c>
      <c r="F72" s="8" t="s">
        <v>5</v>
      </c>
      <c r="G72" s="15" t="s">
        <v>36</v>
      </c>
    </row>
    <row r="73" spans="1:7" x14ac:dyDescent="0.2">
      <c r="A73" s="10">
        <v>44846</v>
      </c>
      <c r="B73" s="14" t="str" cm="1">
        <f t="array" ref="B73">_xlfn.IFS(G73="Electronics","P001", G73="MRO","P002", G73="Office Supplies","P003", G73="Packaging","P004", G73="Raw Materials","P005")</f>
        <v>P001</v>
      </c>
      <c r="C73" s="11">
        <v>1419</v>
      </c>
      <c r="D73" s="11">
        <v>59.28</v>
      </c>
      <c r="E73" s="9">
        <v>0.94299999999999995</v>
      </c>
      <c r="F73" s="11" t="s">
        <v>5</v>
      </c>
      <c r="G73" s="16" t="s">
        <v>39</v>
      </c>
    </row>
    <row r="74" spans="1:7" x14ac:dyDescent="0.2">
      <c r="A74" s="7">
        <v>45026</v>
      </c>
      <c r="B74" s="13" t="str" cm="1">
        <f t="array" ref="B74">_xlfn.IFS(G74="Electronics","P001", G74="MRO","P002", G74="Office Supplies","P003", G74="Packaging","P004", G74="Raw Materials","P005")</f>
        <v>P003</v>
      </c>
      <c r="C74" s="8">
        <v>614</v>
      </c>
      <c r="D74" s="8">
        <v>73.95</v>
      </c>
      <c r="E74" s="9">
        <v>1.032</v>
      </c>
      <c r="F74" s="8" t="s">
        <v>5</v>
      </c>
      <c r="G74" s="15" t="s">
        <v>35</v>
      </c>
    </row>
    <row r="75" spans="1:7" x14ac:dyDescent="0.2">
      <c r="A75" s="10">
        <v>45212</v>
      </c>
      <c r="B75" s="14" t="str" cm="1">
        <f t="array" ref="B75">_xlfn.IFS(G75="Electronics","P001", G75="MRO","P002", G75="Office Supplies","P003", G75="Packaging","P004", G75="Raw Materials","P005")</f>
        <v>P001</v>
      </c>
      <c r="C75" s="11">
        <v>947</v>
      </c>
      <c r="D75" s="11">
        <v>54.25</v>
      </c>
      <c r="E75" s="9">
        <v>0.94299999999999995</v>
      </c>
      <c r="F75" s="11" t="s">
        <v>5</v>
      </c>
      <c r="G75" s="16" t="s">
        <v>39</v>
      </c>
    </row>
    <row r="76" spans="1:7" x14ac:dyDescent="0.2">
      <c r="A76" s="7">
        <v>44935</v>
      </c>
      <c r="B76" s="13" t="str" cm="1">
        <f t="array" ref="B76">_xlfn.IFS(G76="Electronics","P001", G76="MRO","P002", G76="Office Supplies","P003", G76="Packaging","P004", G76="Raw Materials","P005")</f>
        <v>P005</v>
      </c>
      <c r="C76" s="8">
        <v>1413</v>
      </c>
      <c r="D76" s="8">
        <v>69.650000000000006</v>
      </c>
      <c r="E76" s="9">
        <v>0.999</v>
      </c>
      <c r="F76" s="8" t="s">
        <v>5</v>
      </c>
      <c r="G76" s="15" t="s">
        <v>38</v>
      </c>
    </row>
    <row r="77" spans="1:7" x14ac:dyDescent="0.2">
      <c r="A77" s="10">
        <v>44728</v>
      </c>
      <c r="B77" s="13" t="str" cm="1">
        <f t="array" ref="B77">_xlfn.IFS(G77="Electronics","P001", G77="MRO","P002", G77="Office Supplies","P003", G77="Packaging","P004", G77="Raw Materials","P005")</f>
        <v>P003</v>
      </c>
      <c r="C77" s="11">
        <v>141</v>
      </c>
      <c r="D77" s="11">
        <v>58.32</v>
      </c>
      <c r="E77" s="9">
        <v>0.89100000000000001</v>
      </c>
      <c r="F77" s="11" t="s">
        <v>5</v>
      </c>
      <c r="G77" s="16" t="s">
        <v>35</v>
      </c>
    </row>
    <row r="78" spans="1:7" x14ac:dyDescent="0.2">
      <c r="A78" s="7">
        <v>44941</v>
      </c>
      <c r="B78" s="14" t="str" cm="1">
        <f t="array" ref="B78">_xlfn.IFS(G78="Electronics","P001", G78="MRO","P002", G78="Office Supplies","P003", G78="Packaging","P004", G78="Raw Materials","P005")</f>
        <v>P003</v>
      </c>
      <c r="C78" s="8">
        <v>1440</v>
      </c>
      <c r="D78" s="8">
        <v>83.87</v>
      </c>
      <c r="E78" s="9">
        <v>0.999</v>
      </c>
      <c r="F78" s="8" t="s">
        <v>5</v>
      </c>
      <c r="G78" s="15" t="s">
        <v>35</v>
      </c>
    </row>
    <row r="79" spans="1:7" x14ac:dyDescent="0.2">
      <c r="A79" s="10">
        <v>44925</v>
      </c>
      <c r="B79" s="13" t="str" cm="1">
        <f t="array" ref="B79">_xlfn.IFS(G79="Electronics","P001", G79="MRO","P002", G79="Office Supplies","P003", G79="Packaging","P004", G79="Raw Materials","P005")</f>
        <v>P005</v>
      </c>
      <c r="C79" s="11">
        <v>1005</v>
      </c>
      <c r="D79" s="11">
        <v>12.79</v>
      </c>
      <c r="E79" s="9">
        <v>1.032</v>
      </c>
      <c r="F79" s="11" t="s">
        <v>6</v>
      </c>
      <c r="G79" s="16" t="s">
        <v>38</v>
      </c>
    </row>
    <row r="80" spans="1:7" x14ac:dyDescent="0.2">
      <c r="A80" s="7">
        <v>44776</v>
      </c>
      <c r="B80" s="14" t="str" cm="1">
        <f t="array" ref="B80">_xlfn.IFS(G80="Electronics","P001", G80="MRO","P002", G80="Office Supplies","P003", G80="Packaging","P004", G80="Raw Materials","P005")</f>
        <v>P002</v>
      </c>
      <c r="C80" s="8">
        <v>1528</v>
      </c>
      <c r="D80" s="8">
        <v>33</v>
      </c>
      <c r="E80" s="9">
        <v>0.96899999999999997</v>
      </c>
      <c r="F80" s="8" t="s">
        <v>6</v>
      </c>
      <c r="G80" s="15" t="s">
        <v>36</v>
      </c>
    </row>
    <row r="81" spans="1:7" x14ac:dyDescent="0.2">
      <c r="A81" s="10">
        <v>45248</v>
      </c>
      <c r="B81" s="13" t="str" cm="1">
        <f t="array" ref="B81">_xlfn.IFS(G81="Electronics","P001", G81="MRO","P002", G81="Office Supplies","P003", G81="Packaging","P004", G81="Raw Materials","P005")</f>
        <v>P002</v>
      </c>
      <c r="C81" s="11">
        <v>1501</v>
      </c>
      <c r="D81" s="11">
        <v>100.99</v>
      </c>
      <c r="E81" s="9">
        <v>0.95299999999999996</v>
      </c>
      <c r="F81" s="11" t="s">
        <v>6</v>
      </c>
      <c r="G81" s="16" t="s">
        <v>36</v>
      </c>
    </row>
    <row r="82" spans="1:7" x14ac:dyDescent="0.2">
      <c r="A82" s="7">
        <v>44835</v>
      </c>
      <c r="B82" s="13" t="str" cm="1">
        <f t="array" ref="B82">_xlfn.IFS(G82="Electronics","P001", G82="MRO","P002", G82="Office Supplies","P003", G82="Packaging","P004", G82="Raw Materials","P005")</f>
        <v>P004</v>
      </c>
      <c r="C82" s="8">
        <v>558</v>
      </c>
      <c r="D82" s="8">
        <v>81.400000000000006</v>
      </c>
      <c r="E82" s="9">
        <v>0.94299999999999995</v>
      </c>
      <c r="F82" s="8" t="s">
        <v>6</v>
      </c>
      <c r="G82" s="15" t="s">
        <v>37</v>
      </c>
    </row>
    <row r="83" spans="1:7" x14ac:dyDescent="0.2">
      <c r="A83" s="10">
        <v>45280</v>
      </c>
      <c r="B83" s="14" t="str" cm="1">
        <f t="array" ref="B83">_xlfn.IFS(G83="Electronics","P001", G83="MRO","P002", G83="Office Supplies","P003", G83="Packaging","P004", G83="Raw Materials","P005")</f>
        <v>P002</v>
      </c>
      <c r="C83" s="11">
        <v>825</v>
      </c>
      <c r="D83" s="11">
        <v>50.84</v>
      </c>
      <c r="E83" s="9">
        <v>1.032</v>
      </c>
      <c r="F83" s="11" t="s">
        <v>5</v>
      </c>
      <c r="G83" s="16" t="s">
        <v>36</v>
      </c>
    </row>
    <row r="84" spans="1:7" x14ac:dyDescent="0.2">
      <c r="A84" s="7">
        <v>45261</v>
      </c>
      <c r="B84" s="13" t="str" cm="1">
        <f t="array" ref="B84">_xlfn.IFS(G84="Electronics","P001", G84="MRO","P002", G84="Office Supplies","P003", G84="Packaging","P004", G84="Raw Materials","P005")</f>
        <v>P001</v>
      </c>
      <c r="C84" s="8">
        <v>84</v>
      </c>
      <c r="D84" s="8">
        <v>71.42</v>
      </c>
      <c r="E84" s="9">
        <v>1.032</v>
      </c>
      <c r="F84" s="8" t="s">
        <v>5</v>
      </c>
      <c r="G84" s="15" t="s">
        <v>39</v>
      </c>
    </row>
    <row r="85" spans="1:7" x14ac:dyDescent="0.2">
      <c r="A85" s="10">
        <v>45225</v>
      </c>
      <c r="B85" s="14" t="str" cm="1">
        <f t="array" ref="B85">_xlfn.IFS(G85="Electronics","P001", G85="MRO","P002", G85="Office Supplies","P003", G85="Packaging","P004", G85="Raw Materials","P005")</f>
        <v>P005</v>
      </c>
      <c r="C85" s="11">
        <v>255</v>
      </c>
      <c r="D85" s="11">
        <v>33.590000000000003</v>
      </c>
      <c r="E85" s="9">
        <v>0.94299999999999995</v>
      </c>
      <c r="F85" s="11" t="s">
        <v>6</v>
      </c>
      <c r="G85" s="16" t="s">
        <v>38</v>
      </c>
    </row>
    <row r="86" spans="1:7" x14ac:dyDescent="0.2">
      <c r="A86" s="7">
        <v>44635</v>
      </c>
      <c r="B86" s="13" t="str" cm="1">
        <f t="array" ref="B86">_xlfn.IFS(G86="Electronics","P001", G86="MRO","P002", G86="Office Supplies","P003", G86="Packaging","P004", G86="Raw Materials","P005")</f>
        <v>P002</v>
      </c>
      <c r="C86" s="8">
        <v>1154</v>
      </c>
      <c r="D86" s="8">
        <v>26.07</v>
      </c>
      <c r="E86" s="9">
        <v>1.115</v>
      </c>
      <c r="F86" s="8" t="s">
        <v>5</v>
      </c>
      <c r="G86" s="15" t="s">
        <v>36</v>
      </c>
    </row>
    <row r="87" spans="1:7" x14ac:dyDescent="0.2">
      <c r="A87" s="10">
        <v>45185</v>
      </c>
      <c r="B87" s="13" t="str" cm="1">
        <f t="array" ref="B87">_xlfn.IFS(G87="Electronics","P001", G87="MRO","P002", G87="Office Supplies","P003", G87="Packaging","P004", G87="Raw Materials","P005")</f>
        <v>P003</v>
      </c>
      <c r="C87" s="11">
        <v>1635</v>
      </c>
      <c r="D87" s="11">
        <v>54.37</v>
      </c>
      <c r="E87" s="9">
        <v>0.98099999999999998</v>
      </c>
      <c r="F87" s="11" t="s">
        <v>6</v>
      </c>
      <c r="G87" s="16" t="s">
        <v>35</v>
      </c>
    </row>
    <row r="88" spans="1:7" x14ac:dyDescent="0.2">
      <c r="A88" s="7">
        <v>45212</v>
      </c>
      <c r="B88" s="14" t="str" cm="1">
        <f t="array" ref="B88">_xlfn.IFS(G88="Electronics","P001", G88="MRO","P002", G88="Office Supplies","P003", G88="Packaging","P004", G88="Raw Materials","P005")</f>
        <v>P005</v>
      </c>
      <c r="C88" s="8">
        <v>1945</v>
      </c>
      <c r="D88" s="8">
        <v>40.119999999999997</v>
      </c>
      <c r="E88" s="9">
        <v>0.94299999999999995</v>
      </c>
      <c r="F88" s="8" t="s">
        <v>6</v>
      </c>
      <c r="G88" s="15" t="s">
        <v>38</v>
      </c>
    </row>
    <row r="89" spans="1:7" x14ac:dyDescent="0.2">
      <c r="A89" s="10">
        <v>44737</v>
      </c>
      <c r="B89" s="13" t="str" cm="1">
        <f t="array" ref="B89">_xlfn.IFS(G89="Electronics","P001", G89="MRO","P002", G89="Office Supplies","P003", G89="Packaging","P004", G89="Raw Materials","P005")</f>
        <v>P002</v>
      </c>
      <c r="C89" s="11">
        <v>1461</v>
      </c>
      <c r="D89" s="11">
        <v>63.39</v>
      </c>
      <c r="E89" s="9">
        <v>0.89100000000000001</v>
      </c>
      <c r="F89" s="11" t="s">
        <v>6</v>
      </c>
      <c r="G89" s="16" t="s">
        <v>36</v>
      </c>
    </row>
    <row r="90" spans="1:7" x14ac:dyDescent="0.2">
      <c r="A90" s="7">
        <v>45108</v>
      </c>
      <c r="B90" s="14" t="str" cm="1">
        <f t="array" ref="B90">_xlfn.IFS(G90="Electronics","P001", G90="MRO","P002", G90="Office Supplies","P003", G90="Packaging","P004", G90="Raw Materials","P005")</f>
        <v>P001</v>
      </c>
      <c r="C90" s="8">
        <v>1075</v>
      </c>
      <c r="D90" s="8">
        <v>16.12</v>
      </c>
      <c r="E90" s="9">
        <v>0.99199999999999999</v>
      </c>
      <c r="F90" s="8" t="s">
        <v>5</v>
      </c>
      <c r="G90" s="15" t="s">
        <v>39</v>
      </c>
    </row>
    <row r="91" spans="1:7" x14ac:dyDescent="0.2">
      <c r="A91" s="10">
        <v>44812</v>
      </c>
      <c r="B91" s="13" t="str" cm="1">
        <f t="array" ref="B91">_xlfn.IFS(G91="Electronics","P001", G91="MRO","P002", G91="Office Supplies","P003", G91="Packaging","P004", G91="Raw Materials","P005")</f>
        <v>P004</v>
      </c>
      <c r="C91" s="11">
        <v>1071</v>
      </c>
      <c r="D91" s="11">
        <v>93.91</v>
      </c>
      <c r="E91" s="9">
        <v>0.98099999999999998</v>
      </c>
      <c r="F91" s="11" t="s">
        <v>5</v>
      </c>
      <c r="G91" s="16" t="s">
        <v>37</v>
      </c>
    </row>
    <row r="92" spans="1:7" x14ac:dyDescent="0.2">
      <c r="A92" s="7">
        <v>44729</v>
      </c>
      <c r="B92" s="13" t="str" cm="1">
        <f t="array" ref="B92">_xlfn.IFS(G92="Electronics","P001", G92="MRO","P002", G92="Office Supplies","P003", G92="Packaging","P004", G92="Raw Materials","P005")</f>
        <v>P004</v>
      </c>
      <c r="C92" s="8">
        <v>1463</v>
      </c>
      <c r="D92" s="8">
        <v>86.17</v>
      </c>
      <c r="E92" s="9">
        <v>0.89100000000000001</v>
      </c>
      <c r="F92" s="8" t="s">
        <v>5</v>
      </c>
      <c r="G92" s="15" t="s">
        <v>37</v>
      </c>
    </row>
    <row r="93" spans="1:7" x14ac:dyDescent="0.2">
      <c r="A93" s="10">
        <v>45035</v>
      </c>
      <c r="B93" s="14" t="str" cm="1">
        <f t="array" ref="B93">_xlfn.IFS(G93="Electronics","P001", G93="MRO","P002", G93="Office Supplies","P003", G93="Packaging","P004", G93="Raw Materials","P005")</f>
        <v>P005</v>
      </c>
      <c r="C93" s="11">
        <v>615</v>
      </c>
      <c r="D93" s="11">
        <v>73.680000000000007</v>
      </c>
      <c r="E93" s="9">
        <v>1.032</v>
      </c>
      <c r="F93" s="11" t="s">
        <v>5</v>
      </c>
      <c r="G93" s="16" t="s">
        <v>38</v>
      </c>
    </row>
    <row r="94" spans="1:7" x14ac:dyDescent="0.2">
      <c r="A94" s="7">
        <v>44950</v>
      </c>
      <c r="B94" s="13" t="str" cm="1">
        <f t="array" ref="B94">_xlfn.IFS(G94="Electronics","P001", G94="MRO","P002", G94="Office Supplies","P003", G94="Packaging","P004", G94="Raw Materials","P005")</f>
        <v>P001</v>
      </c>
      <c r="C94" s="8">
        <v>1179</v>
      </c>
      <c r="D94" s="8">
        <v>56.28</v>
      </c>
      <c r="E94" s="9">
        <v>0.999</v>
      </c>
      <c r="F94" s="8" t="s">
        <v>5</v>
      </c>
      <c r="G94" s="15" t="s">
        <v>39</v>
      </c>
    </row>
    <row r="95" spans="1:7" x14ac:dyDescent="0.2">
      <c r="A95" s="10">
        <v>44838</v>
      </c>
      <c r="B95" s="14" t="str" cm="1">
        <f t="array" ref="B95">_xlfn.IFS(G95="Electronics","P001", G95="MRO","P002", G95="Office Supplies","P003", G95="Packaging","P004", G95="Raw Materials","P005")</f>
        <v>P001</v>
      </c>
      <c r="C95" s="11">
        <v>1845</v>
      </c>
      <c r="D95" s="11">
        <v>37.630000000000003</v>
      </c>
      <c r="E95" s="9">
        <v>0.94299999999999995</v>
      </c>
      <c r="F95" s="11" t="s">
        <v>5</v>
      </c>
      <c r="G95" s="16" t="s">
        <v>39</v>
      </c>
    </row>
    <row r="96" spans="1:7" x14ac:dyDescent="0.2">
      <c r="A96" s="7">
        <v>45217</v>
      </c>
      <c r="B96" s="13" t="str" cm="1">
        <f t="array" ref="B96">_xlfn.IFS(G96="Electronics","P001", G96="MRO","P002", G96="Office Supplies","P003", G96="Packaging","P004", G96="Raw Materials","P005")</f>
        <v>P001</v>
      </c>
      <c r="C96" s="8">
        <v>1895</v>
      </c>
      <c r="D96" s="8">
        <v>86.27</v>
      </c>
      <c r="E96" s="9">
        <v>0.94299999999999995</v>
      </c>
      <c r="F96" s="8" t="s">
        <v>5</v>
      </c>
      <c r="G96" s="15" t="s">
        <v>39</v>
      </c>
    </row>
    <row r="97" spans="1:7" x14ac:dyDescent="0.2">
      <c r="A97" s="10">
        <v>45266</v>
      </c>
      <c r="B97" s="13" t="str" cm="1">
        <f t="array" ref="B97">_xlfn.IFS(G97="Electronics","P001", G97="MRO","P002", G97="Office Supplies","P003", G97="Packaging","P004", G97="Raw Materials","P005")</f>
        <v>P002</v>
      </c>
      <c r="C97" s="11">
        <v>1550</v>
      </c>
      <c r="D97" s="11">
        <v>69.569999999999993</v>
      </c>
      <c r="E97" s="9">
        <v>1.032</v>
      </c>
      <c r="F97" s="11" t="s">
        <v>6</v>
      </c>
      <c r="G97" s="16" t="s">
        <v>36</v>
      </c>
    </row>
    <row r="98" spans="1:7" x14ac:dyDescent="0.2">
      <c r="A98" s="7">
        <v>45132</v>
      </c>
      <c r="B98" s="14" t="str" cm="1">
        <f t="array" ref="B98">_xlfn.IFS(G98="Electronics","P001", G98="MRO","P002", G98="Office Supplies","P003", G98="Packaging","P004", G98="Raw Materials","P005")</f>
        <v>P004</v>
      </c>
      <c r="C98" s="8">
        <v>752</v>
      </c>
      <c r="D98" s="8">
        <v>24.37</v>
      </c>
      <c r="E98" s="9">
        <v>0.99199999999999999</v>
      </c>
      <c r="F98" s="8" t="s">
        <v>6</v>
      </c>
      <c r="G98" s="15" t="s">
        <v>37</v>
      </c>
    </row>
    <row r="99" spans="1:7" x14ac:dyDescent="0.2">
      <c r="A99" s="10">
        <v>44786</v>
      </c>
      <c r="B99" s="13" t="str" cm="1">
        <f t="array" ref="B99">_xlfn.IFS(G99="Electronics","P001", G99="MRO","P002", G99="Office Supplies","P003", G99="Packaging","P004", G99="Raw Materials","P005")</f>
        <v>P001</v>
      </c>
      <c r="C99" s="11">
        <v>451</v>
      </c>
      <c r="D99" s="11">
        <v>90.07</v>
      </c>
      <c r="E99" s="9">
        <v>0.96899999999999997</v>
      </c>
      <c r="F99" s="11" t="s">
        <v>5</v>
      </c>
      <c r="G99" s="16" t="s">
        <v>39</v>
      </c>
    </row>
    <row r="100" spans="1:7" x14ac:dyDescent="0.2">
      <c r="A100" s="7">
        <v>45263</v>
      </c>
      <c r="B100" s="14" t="str" cm="1">
        <f t="array" ref="B100">_xlfn.IFS(G100="Electronics","P001", G100="MRO","P002", G100="Office Supplies","P003", G100="Packaging","P004", G100="Raw Materials","P005")</f>
        <v>P003</v>
      </c>
      <c r="C100" s="8">
        <v>779</v>
      </c>
      <c r="D100" s="8">
        <v>90.92</v>
      </c>
      <c r="E100" s="9">
        <v>1.032</v>
      </c>
      <c r="F100" s="8" t="s">
        <v>5</v>
      </c>
      <c r="G100" s="15" t="s">
        <v>35</v>
      </c>
    </row>
    <row r="101" spans="1:7" x14ac:dyDescent="0.2">
      <c r="A101" s="10">
        <v>44894</v>
      </c>
      <c r="B101" s="13" t="str" cm="1">
        <f t="array" ref="B101">_xlfn.IFS(G101="Electronics","P001", G101="MRO","P002", G101="Office Supplies","P003", G101="Packaging","P004", G101="Raw Materials","P005")</f>
        <v>P002</v>
      </c>
      <c r="C101" s="11">
        <v>1629</v>
      </c>
      <c r="D101" s="11">
        <v>86.44</v>
      </c>
      <c r="E101" s="9">
        <v>0.95299999999999996</v>
      </c>
      <c r="F101" s="11" t="s">
        <v>6</v>
      </c>
      <c r="G101" s="16" t="s">
        <v>36</v>
      </c>
    </row>
    <row r="102" spans="1:7" x14ac:dyDescent="0.2">
      <c r="A102" s="7">
        <v>44619</v>
      </c>
      <c r="B102" s="13" t="str" cm="1">
        <f t="array" ref="B102">_xlfn.IFS(G102="Electronics","P001", G102="MRO","P002", G102="Office Supplies","P003", G102="Packaging","P004", G102="Raw Materials","P005")</f>
        <v>P003</v>
      </c>
      <c r="C102" s="8">
        <v>211</v>
      </c>
      <c r="D102" s="8">
        <v>65.400000000000006</v>
      </c>
      <c r="E102" s="9">
        <v>1.0920000000000001</v>
      </c>
      <c r="F102" s="8" t="s">
        <v>5</v>
      </c>
      <c r="G102" s="15" t="s">
        <v>35</v>
      </c>
    </row>
    <row r="103" spans="1:7" x14ac:dyDescent="0.2">
      <c r="A103" s="10">
        <v>44796</v>
      </c>
      <c r="B103" s="14" t="str" cm="1">
        <f t="array" ref="B103">_xlfn.IFS(G103="Electronics","P001", G103="MRO","P002", G103="Office Supplies","P003", G103="Packaging","P004", G103="Raw Materials","P005")</f>
        <v>P003</v>
      </c>
      <c r="C103" s="11">
        <v>251</v>
      </c>
      <c r="D103" s="11">
        <v>64.48</v>
      </c>
      <c r="E103" s="9">
        <v>0.96899999999999997</v>
      </c>
      <c r="F103" s="11" t="s">
        <v>5</v>
      </c>
      <c r="G103" s="16" t="s">
        <v>35</v>
      </c>
    </row>
    <row r="104" spans="1:7" x14ac:dyDescent="0.2">
      <c r="A104" s="7">
        <v>44594</v>
      </c>
      <c r="B104" s="13" t="str" cm="1">
        <f t="array" ref="B104">_xlfn.IFS(G104="Electronics","P001", G104="MRO","P002", G104="Office Supplies","P003", G104="Packaging","P004", G104="Raw Materials","P005")</f>
        <v>P005</v>
      </c>
      <c r="C104" s="8">
        <v>1045</v>
      </c>
      <c r="D104" s="8">
        <v>44.65</v>
      </c>
      <c r="E104" s="9">
        <v>1.0920000000000001</v>
      </c>
      <c r="F104" s="8" t="s">
        <v>5</v>
      </c>
      <c r="G104" s="15" t="s">
        <v>38</v>
      </c>
    </row>
    <row r="105" spans="1:7" x14ac:dyDescent="0.2">
      <c r="A105" s="10">
        <v>44885</v>
      </c>
      <c r="B105" s="14" t="str" cm="1">
        <f t="array" ref="B105">_xlfn.IFS(G105="Electronics","P001", G105="MRO","P002", G105="Office Supplies","P003", G105="Packaging","P004", G105="Raw Materials","P005")</f>
        <v>P002</v>
      </c>
      <c r="C105" s="11">
        <v>319</v>
      </c>
      <c r="D105" s="11">
        <v>89.15</v>
      </c>
      <c r="E105" s="9">
        <v>0.95299999999999996</v>
      </c>
      <c r="F105" s="11" t="s">
        <v>5</v>
      </c>
      <c r="G105" s="16" t="s">
        <v>36</v>
      </c>
    </row>
    <row r="106" spans="1:7" x14ac:dyDescent="0.2">
      <c r="A106" s="7">
        <v>44972</v>
      </c>
      <c r="B106" s="13" t="str" cm="1">
        <f t="array" ref="B106">_xlfn.IFS(G106="Electronics","P001", G106="MRO","P002", G106="Office Supplies","P003", G106="Packaging","P004", G106="Raw Materials","P005")</f>
        <v>P003</v>
      </c>
      <c r="C106" s="8">
        <v>1936</v>
      </c>
      <c r="D106" s="8">
        <v>92.24</v>
      </c>
      <c r="E106" s="9">
        <v>1.0920000000000001</v>
      </c>
      <c r="F106" s="8" t="s">
        <v>5</v>
      </c>
      <c r="G106" s="15" t="s">
        <v>35</v>
      </c>
    </row>
    <row r="107" spans="1:7" x14ac:dyDescent="0.2">
      <c r="A107" s="10">
        <v>44836</v>
      </c>
      <c r="B107" s="13" t="str" cm="1">
        <f t="array" ref="B107">_xlfn.IFS(G107="Electronics","P001", G107="MRO","P002", G107="Office Supplies","P003", G107="Packaging","P004", G107="Raw Materials","P005")</f>
        <v>P002</v>
      </c>
      <c r="C107" s="11">
        <v>865</v>
      </c>
      <c r="D107" s="11">
        <v>13.14</v>
      </c>
      <c r="E107" s="9">
        <v>0.94299999999999995</v>
      </c>
      <c r="F107" s="11" t="s">
        <v>6</v>
      </c>
      <c r="G107" s="16" t="s">
        <v>36</v>
      </c>
    </row>
    <row r="108" spans="1:7" x14ac:dyDescent="0.2">
      <c r="A108" s="7">
        <v>44629</v>
      </c>
      <c r="B108" s="14" t="str" cm="1">
        <f t="array" ref="B108">_xlfn.IFS(G108="Electronics","P001", G108="MRO","P002", G108="Office Supplies","P003", G108="Packaging","P004", G108="Raw Materials","P005")</f>
        <v>P001</v>
      </c>
      <c r="C108" s="8">
        <v>1344</v>
      </c>
      <c r="D108" s="8">
        <v>10.87</v>
      </c>
      <c r="E108" s="9">
        <v>1.115</v>
      </c>
      <c r="F108" s="8" t="s">
        <v>5</v>
      </c>
      <c r="G108" s="15" t="s">
        <v>39</v>
      </c>
    </row>
    <row r="109" spans="1:7" x14ac:dyDescent="0.2">
      <c r="A109" s="10">
        <v>44778</v>
      </c>
      <c r="B109" s="13" t="str" cm="1">
        <f t="array" ref="B109">_xlfn.IFS(G109="Electronics","P001", G109="MRO","P002", G109="Office Supplies","P003", G109="Packaging","P004", G109="Raw Materials","P005")</f>
        <v>P005</v>
      </c>
      <c r="C109" s="11">
        <v>505</v>
      </c>
      <c r="D109" s="11">
        <v>40.369999999999997</v>
      </c>
      <c r="E109" s="9">
        <v>0.96899999999999997</v>
      </c>
      <c r="F109" s="11" t="s">
        <v>5</v>
      </c>
      <c r="G109" s="16" t="s">
        <v>38</v>
      </c>
    </row>
    <row r="110" spans="1:7" x14ac:dyDescent="0.2">
      <c r="A110" s="7">
        <v>45142</v>
      </c>
      <c r="B110" s="14" t="str" cm="1">
        <f t="array" ref="B110">_xlfn.IFS(G110="Electronics","P001", G110="MRO","P002", G110="Office Supplies","P003", G110="Packaging","P004", G110="Raw Materials","P005")</f>
        <v>P004</v>
      </c>
      <c r="C110" s="8">
        <v>1535</v>
      </c>
      <c r="D110" s="8">
        <v>78.28</v>
      </c>
      <c r="E110" s="9">
        <v>0.96899999999999997</v>
      </c>
      <c r="F110" s="8" t="s">
        <v>6</v>
      </c>
      <c r="G110" s="15" t="s">
        <v>37</v>
      </c>
    </row>
    <row r="111" spans="1:7" x14ac:dyDescent="0.2">
      <c r="A111" s="10">
        <v>44884</v>
      </c>
      <c r="B111" s="13" t="str" cm="1">
        <f t="array" ref="B111">_xlfn.IFS(G111="Electronics","P001", G111="MRO","P002", G111="Office Supplies","P003", G111="Packaging","P004", G111="Raw Materials","P005")</f>
        <v>P003</v>
      </c>
      <c r="C111" s="11">
        <v>1800</v>
      </c>
      <c r="D111" s="11">
        <v>96.27</v>
      </c>
      <c r="E111" s="9">
        <v>0.95299999999999996</v>
      </c>
      <c r="F111" s="11" t="s">
        <v>5</v>
      </c>
      <c r="G111" s="16" t="s">
        <v>35</v>
      </c>
    </row>
    <row r="112" spans="1:7" x14ac:dyDescent="0.2">
      <c r="A112" s="7">
        <v>44779</v>
      </c>
      <c r="B112" s="13" t="str" cm="1">
        <f t="array" ref="B112">_xlfn.IFS(G112="Electronics","P001", G112="MRO","P002", G112="Office Supplies","P003", G112="Packaging","P004", G112="Raw Materials","P005")</f>
        <v>P005</v>
      </c>
      <c r="C112" s="8">
        <v>1325</v>
      </c>
      <c r="D112" s="8">
        <v>22.75</v>
      </c>
      <c r="E112" s="9">
        <v>0.96899999999999997</v>
      </c>
      <c r="F112" s="8" t="s">
        <v>5</v>
      </c>
      <c r="G112" s="15" t="s">
        <v>38</v>
      </c>
    </row>
    <row r="113" spans="1:7" x14ac:dyDescent="0.2">
      <c r="A113" s="10">
        <v>45233</v>
      </c>
      <c r="B113" s="14" t="str" cm="1">
        <f t="array" ref="B113">_xlfn.IFS(G113="Electronics","P001", G113="MRO","P002", G113="Office Supplies","P003", G113="Packaging","P004", G113="Raw Materials","P005")</f>
        <v>P005</v>
      </c>
      <c r="C113" s="11">
        <v>1066</v>
      </c>
      <c r="D113" s="11">
        <v>65.88</v>
      </c>
      <c r="E113" s="9">
        <v>0.95299999999999996</v>
      </c>
      <c r="F113" s="11" t="s">
        <v>6</v>
      </c>
      <c r="G113" s="16" t="s">
        <v>38</v>
      </c>
    </row>
    <row r="114" spans="1:7" x14ac:dyDescent="0.2">
      <c r="A114" s="7">
        <v>45073</v>
      </c>
      <c r="B114" s="13" t="str" cm="1">
        <f t="array" ref="B114">_xlfn.IFS(G114="Electronics","P001", G114="MRO","P002", G114="Office Supplies","P003", G114="Packaging","P004", G114="Raw Materials","P005")</f>
        <v>P005</v>
      </c>
      <c r="C114" s="8">
        <v>1775</v>
      </c>
      <c r="D114" s="8">
        <v>45.86</v>
      </c>
      <c r="E114" s="9">
        <v>0.98799999999999999</v>
      </c>
      <c r="F114" s="8" t="s">
        <v>5</v>
      </c>
      <c r="G114" s="15" t="s">
        <v>38</v>
      </c>
    </row>
    <row r="115" spans="1:7" x14ac:dyDescent="0.2">
      <c r="A115" s="10">
        <v>44967</v>
      </c>
      <c r="B115" s="14" t="str" cm="1">
        <f t="array" ref="B115">_xlfn.IFS(G115="Electronics","P001", G115="MRO","P002", G115="Office Supplies","P003", G115="Packaging","P004", G115="Raw Materials","P005")</f>
        <v>P005</v>
      </c>
      <c r="C115" s="11">
        <v>345</v>
      </c>
      <c r="D115" s="11">
        <v>98.09</v>
      </c>
      <c r="E115" s="9">
        <v>1.0920000000000001</v>
      </c>
      <c r="F115" s="11" t="s">
        <v>6</v>
      </c>
      <c r="G115" s="16" t="s">
        <v>38</v>
      </c>
    </row>
    <row r="116" spans="1:7" x14ac:dyDescent="0.2">
      <c r="A116" s="7">
        <v>45220</v>
      </c>
      <c r="B116" s="13" t="str" cm="1">
        <f t="array" ref="B116">_xlfn.IFS(G116="Electronics","P001", G116="MRO","P002", G116="Office Supplies","P003", G116="Packaging","P004", G116="Raw Materials","P005")</f>
        <v>P001</v>
      </c>
      <c r="C116" s="8">
        <v>1798</v>
      </c>
      <c r="D116" s="8">
        <v>91.83</v>
      </c>
      <c r="E116" s="9">
        <v>0.94299999999999995</v>
      </c>
      <c r="F116" s="8" t="s">
        <v>5</v>
      </c>
      <c r="G116" s="15" t="s">
        <v>39</v>
      </c>
    </row>
    <row r="117" spans="1:7" x14ac:dyDescent="0.2">
      <c r="A117" s="10">
        <v>45031</v>
      </c>
      <c r="B117" s="13" t="str" cm="1">
        <f t="array" ref="B117">_xlfn.IFS(G117="Electronics","P001", G117="MRO","P002", G117="Office Supplies","P003", G117="Packaging","P004", G117="Raw Materials","P005")</f>
        <v>P002</v>
      </c>
      <c r="C117" s="11">
        <v>769</v>
      </c>
      <c r="D117" s="11">
        <v>86.55</v>
      </c>
      <c r="E117" s="9">
        <v>1.032</v>
      </c>
      <c r="F117" s="11" t="s">
        <v>5</v>
      </c>
      <c r="G117" s="16" t="s">
        <v>36</v>
      </c>
    </row>
    <row r="118" spans="1:7" x14ac:dyDescent="0.2">
      <c r="A118" s="7">
        <v>44708</v>
      </c>
      <c r="B118" s="14" t="str" cm="1">
        <f t="array" ref="B118">_xlfn.IFS(G118="Electronics","P001", G118="MRO","P002", G118="Office Supplies","P003", G118="Packaging","P004", G118="Raw Materials","P005")</f>
        <v>P004</v>
      </c>
      <c r="C118" s="8">
        <v>1822</v>
      </c>
      <c r="D118" s="8">
        <v>47.49</v>
      </c>
      <c r="E118" s="9">
        <v>0.98799999999999999</v>
      </c>
      <c r="F118" s="8" t="s">
        <v>5</v>
      </c>
      <c r="G118" s="15" t="s">
        <v>37</v>
      </c>
    </row>
    <row r="119" spans="1:7" x14ac:dyDescent="0.2">
      <c r="A119" s="10">
        <v>44833</v>
      </c>
      <c r="B119" s="13" t="str" cm="1">
        <f t="array" ref="B119">_xlfn.IFS(G119="Electronics","P001", G119="MRO","P002", G119="Office Supplies","P003", G119="Packaging","P004", G119="Raw Materials","P005")</f>
        <v>P004</v>
      </c>
      <c r="C119" s="11">
        <v>387</v>
      </c>
      <c r="D119" s="11">
        <v>45.41</v>
      </c>
      <c r="E119" s="9">
        <v>0.98099999999999998</v>
      </c>
      <c r="F119" s="11" t="s">
        <v>5</v>
      </c>
      <c r="G119" s="16" t="s">
        <v>37</v>
      </c>
    </row>
    <row r="120" spans="1:7" x14ac:dyDescent="0.2">
      <c r="A120" s="7">
        <v>44704</v>
      </c>
      <c r="B120" s="14" t="str" cm="1">
        <f t="array" ref="B120">_xlfn.IFS(G120="Electronics","P001", G120="MRO","P002", G120="Office Supplies","P003", G120="Packaging","P004", G120="Raw Materials","P005")</f>
        <v>P002</v>
      </c>
      <c r="C120" s="8">
        <v>928</v>
      </c>
      <c r="D120" s="8">
        <v>32.520000000000003</v>
      </c>
      <c r="E120" s="9">
        <v>0.98799999999999999</v>
      </c>
      <c r="F120" s="8" t="s">
        <v>5</v>
      </c>
      <c r="G120" s="15" t="s">
        <v>36</v>
      </c>
    </row>
    <row r="121" spans="1:7" x14ac:dyDescent="0.2">
      <c r="A121" s="10">
        <v>44814</v>
      </c>
      <c r="B121" s="13" t="str" cm="1">
        <f t="array" ref="B121">_xlfn.IFS(G121="Electronics","P001", G121="MRO","P002", G121="Office Supplies","P003", G121="Packaging","P004", G121="Raw Materials","P005")</f>
        <v>P004</v>
      </c>
      <c r="C121" s="11">
        <v>1126</v>
      </c>
      <c r="D121" s="11">
        <v>14.97</v>
      </c>
      <c r="E121" s="9">
        <v>0.98099999999999998</v>
      </c>
      <c r="F121" s="11" t="s">
        <v>5</v>
      </c>
      <c r="G121" s="16" t="s">
        <v>37</v>
      </c>
    </row>
    <row r="122" spans="1:7" x14ac:dyDescent="0.2">
      <c r="A122" s="7">
        <v>45136</v>
      </c>
      <c r="B122" s="13" t="str" cm="1">
        <f t="array" ref="B122">_xlfn.IFS(G122="Electronics","P001", G122="MRO","P002", G122="Office Supplies","P003", G122="Packaging","P004", G122="Raw Materials","P005")</f>
        <v>P005</v>
      </c>
      <c r="C122" s="8">
        <v>841</v>
      </c>
      <c r="D122" s="8">
        <v>85.33</v>
      </c>
      <c r="E122" s="9">
        <v>0.99199999999999999</v>
      </c>
      <c r="F122" s="8" t="s">
        <v>5</v>
      </c>
      <c r="G122" s="15" t="s">
        <v>38</v>
      </c>
    </row>
    <row r="123" spans="1:7" x14ac:dyDescent="0.2">
      <c r="A123" s="10">
        <v>45113</v>
      </c>
      <c r="B123" s="14" t="str" cm="1">
        <f t="array" ref="B123">_xlfn.IFS(G123="Electronics","P001", G123="MRO","P002", G123="Office Supplies","P003", G123="Packaging","P004", G123="Raw Materials","P005")</f>
        <v>P001</v>
      </c>
      <c r="C123" s="11">
        <v>1995</v>
      </c>
      <c r="D123" s="11">
        <v>77.75</v>
      </c>
      <c r="E123" s="9">
        <v>0.99199999999999999</v>
      </c>
      <c r="F123" s="11" t="s">
        <v>5</v>
      </c>
      <c r="G123" s="16" t="s">
        <v>39</v>
      </c>
    </row>
    <row r="124" spans="1:7" x14ac:dyDescent="0.2">
      <c r="A124" s="7">
        <v>44831</v>
      </c>
      <c r="B124" s="13" t="str" cm="1">
        <f t="array" ref="B124">_xlfn.IFS(G124="Electronics","P001", G124="MRO","P002", G124="Office Supplies","P003", G124="Packaging","P004", G124="Raw Materials","P005")</f>
        <v>P005</v>
      </c>
      <c r="C124" s="8">
        <v>266</v>
      </c>
      <c r="D124" s="8">
        <v>101.44</v>
      </c>
      <c r="E124" s="9">
        <v>0.98099999999999998</v>
      </c>
      <c r="F124" s="8" t="s">
        <v>5</v>
      </c>
      <c r="G124" s="15" t="s">
        <v>38</v>
      </c>
    </row>
    <row r="125" spans="1:7" x14ac:dyDescent="0.2">
      <c r="A125" s="10">
        <v>45160</v>
      </c>
      <c r="B125" s="14" t="str" cm="1">
        <f t="array" ref="B125">_xlfn.IFS(G125="Electronics","P001", G125="MRO","P002", G125="Office Supplies","P003", G125="Packaging","P004", G125="Raw Materials","P005")</f>
        <v>P005</v>
      </c>
      <c r="C125" s="11">
        <v>813</v>
      </c>
      <c r="D125" s="11">
        <v>107.39</v>
      </c>
      <c r="E125" s="9">
        <v>0.96899999999999997</v>
      </c>
      <c r="F125" s="11" t="s">
        <v>5</v>
      </c>
      <c r="G125" s="16" t="s">
        <v>38</v>
      </c>
    </row>
    <row r="126" spans="1:7" x14ac:dyDescent="0.2">
      <c r="A126" s="7">
        <v>45000</v>
      </c>
      <c r="B126" s="13" t="str" cm="1">
        <f t="array" ref="B126">_xlfn.IFS(G126="Electronics","P001", G126="MRO","P002", G126="Office Supplies","P003", G126="Packaging","P004", G126="Raw Materials","P005")</f>
        <v>P001</v>
      </c>
      <c r="C126" s="8">
        <v>237</v>
      </c>
      <c r="D126" s="8">
        <v>59.01</v>
      </c>
      <c r="E126" s="9">
        <v>1.115</v>
      </c>
      <c r="F126" s="8" t="s">
        <v>5</v>
      </c>
      <c r="G126" s="15" t="s">
        <v>39</v>
      </c>
    </row>
    <row r="127" spans="1:7" x14ac:dyDescent="0.2">
      <c r="A127" s="10">
        <v>45159</v>
      </c>
      <c r="B127" s="13" t="str" cm="1">
        <f t="array" ref="B127">_xlfn.IFS(G127="Electronics","P001", G127="MRO","P002", G127="Office Supplies","P003", G127="Packaging","P004", G127="Raw Materials","P005")</f>
        <v>P003</v>
      </c>
      <c r="C127" s="11">
        <v>429</v>
      </c>
      <c r="D127" s="11">
        <v>75.09</v>
      </c>
      <c r="E127" s="9">
        <v>0.96899999999999997</v>
      </c>
      <c r="F127" s="11" t="s">
        <v>5</v>
      </c>
      <c r="G127" s="16" t="s">
        <v>35</v>
      </c>
    </row>
    <row r="128" spans="1:7" x14ac:dyDescent="0.2">
      <c r="A128" s="7">
        <v>44970</v>
      </c>
      <c r="B128" s="14" t="str" cm="1">
        <f t="array" ref="B128">_xlfn.IFS(G128="Electronics","P001", G128="MRO","P002", G128="Office Supplies","P003", G128="Packaging","P004", G128="Raw Materials","P005")</f>
        <v>P004</v>
      </c>
      <c r="C128" s="8">
        <v>542</v>
      </c>
      <c r="D128" s="8">
        <v>93.11</v>
      </c>
      <c r="E128" s="9">
        <v>1.0920000000000001</v>
      </c>
      <c r="F128" s="8" t="s">
        <v>6</v>
      </c>
      <c r="G128" s="15" t="s">
        <v>37</v>
      </c>
    </row>
    <row r="129" spans="1:7" x14ac:dyDescent="0.2">
      <c r="A129" s="10">
        <v>44932</v>
      </c>
      <c r="B129" s="13" t="str" cm="1">
        <f t="array" ref="B129">_xlfn.IFS(G129="Electronics","P001", G129="MRO","P002", G129="Office Supplies","P003", G129="Packaging","P004", G129="Raw Materials","P005")</f>
        <v>P001</v>
      </c>
      <c r="C129" s="11">
        <v>1114</v>
      </c>
      <c r="D129" s="11">
        <v>85.53</v>
      </c>
      <c r="E129" s="9">
        <v>0.999</v>
      </c>
      <c r="F129" s="11" t="s">
        <v>5</v>
      </c>
      <c r="G129" s="16" t="s">
        <v>39</v>
      </c>
    </row>
    <row r="130" spans="1:7" x14ac:dyDescent="0.2">
      <c r="A130" s="7">
        <v>44786</v>
      </c>
      <c r="B130" s="14" t="str" cm="1">
        <f t="array" ref="B130">_xlfn.IFS(G130="Electronics","P001", G130="MRO","P002", G130="Office Supplies","P003", G130="Packaging","P004", G130="Raw Materials","P005")</f>
        <v>P002</v>
      </c>
      <c r="C130" s="8">
        <v>1230</v>
      </c>
      <c r="D130" s="8">
        <v>30.85</v>
      </c>
      <c r="E130" s="9">
        <v>0.96899999999999997</v>
      </c>
      <c r="F130" s="8" t="s">
        <v>5</v>
      </c>
      <c r="G130" s="15" t="s">
        <v>36</v>
      </c>
    </row>
    <row r="131" spans="1:7" x14ac:dyDescent="0.2">
      <c r="A131" s="10">
        <v>44703</v>
      </c>
      <c r="B131" s="13" t="str" cm="1">
        <f t="array" ref="B131">_xlfn.IFS(G131="Electronics","P001", G131="MRO","P002", G131="Office Supplies","P003", G131="Packaging","P004", G131="Raw Materials","P005")</f>
        <v>P002</v>
      </c>
      <c r="C131" s="11">
        <v>64</v>
      </c>
      <c r="D131" s="11">
        <v>50.88</v>
      </c>
      <c r="E131" s="9">
        <v>0.98799999999999999</v>
      </c>
      <c r="F131" s="11" t="s">
        <v>5</v>
      </c>
      <c r="G131" s="16" t="s">
        <v>36</v>
      </c>
    </row>
    <row r="132" spans="1:7" x14ac:dyDescent="0.2">
      <c r="A132" s="7">
        <v>45083</v>
      </c>
      <c r="B132" s="13" t="str" cm="1">
        <f t="array" ref="B132">_xlfn.IFS(G132="Electronics","P001", G132="MRO","P002", G132="Office Supplies","P003", G132="Packaging","P004", G132="Raw Materials","P005")</f>
        <v>P002</v>
      </c>
      <c r="C132" s="8">
        <v>1886</v>
      </c>
      <c r="D132" s="8">
        <v>23.18</v>
      </c>
      <c r="E132" s="9">
        <v>0.89100000000000001</v>
      </c>
      <c r="F132" s="8" t="s">
        <v>5</v>
      </c>
      <c r="G132" s="15" t="s">
        <v>36</v>
      </c>
    </row>
    <row r="133" spans="1:7" x14ac:dyDescent="0.2">
      <c r="A133" s="10">
        <v>45067</v>
      </c>
      <c r="B133" s="14" t="str" cm="1">
        <f t="array" ref="B133">_xlfn.IFS(G133="Electronics","P001", G133="MRO","P002", G133="Office Supplies","P003", G133="Packaging","P004", G133="Raw Materials","P005")</f>
        <v>P003</v>
      </c>
      <c r="C133" s="11">
        <v>114</v>
      </c>
      <c r="D133" s="11">
        <v>101.54</v>
      </c>
      <c r="E133" s="9">
        <v>0.98799999999999999</v>
      </c>
      <c r="F133" s="11" t="s">
        <v>5</v>
      </c>
      <c r="G133" s="16" t="s">
        <v>35</v>
      </c>
    </row>
    <row r="134" spans="1:7" x14ac:dyDescent="0.2">
      <c r="A134" s="7">
        <v>44655</v>
      </c>
      <c r="B134" s="13" t="str" cm="1">
        <f t="array" ref="B134">_xlfn.IFS(G134="Electronics","P001", G134="MRO","P002", G134="Office Supplies","P003", G134="Packaging","P004", G134="Raw Materials","P005")</f>
        <v>P001</v>
      </c>
      <c r="C134" s="8">
        <v>1930</v>
      </c>
      <c r="D134" s="8">
        <v>56.9</v>
      </c>
      <c r="E134" s="9">
        <v>1.032</v>
      </c>
      <c r="F134" s="8" t="s">
        <v>5</v>
      </c>
      <c r="G134" s="15" t="s">
        <v>39</v>
      </c>
    </row>
    <row r="135" spans="1:7" x14ac:dyDescent="0.2">
      <c r="A135" s="10">
        <v>44610</v>
      </c>
      <c r="B135" s="14" t="str" cm="1">
        <f t="array" ref="B135">_xlfn.IFS(G135="Electronics","P001", G135="MRO","P002", G135="Office Supplies","P003", G135="Packaging","P004", G135="Raw Materials","P005")</f>
        <v>P003</v>
      </c>
      <c r="C135" s="11">
        <v>1912</v>
      </c>
      <c r="D135" s="11">
        <v>29.82</v>
      </c>
      <c r="E135" s="9">
        <v>1.0920000000000001</v>
      </c>
      <c r="F135" s="11" t="s">
        <v>5</v>
      </c>
      <c r="G135" s="16" t="s">
        <v>35</v>
      </c>
    </row>
    <row r="136" spans="1:7" x14ac:dyDescent="0.2">
      <c r="A136" s="7">
        <v>44674</v>
      </c>
      <c r="B136" s="13" t="str" cm="1">
        <f t="array" ref="B136">_xlfn.IFS(G136="Electronics","P001", G136="MRO","P002", G136="Office Supplies","P003", G136="Packaging","P004", G136="Raw Materials","P005")</f>
        <v>P002</v>
      </c>
      <c r="C136" s="8">
        <v>570</v>
      </c>
      <c r="D136" s="8">
        <v>66.47</v>
      </c>
      <c r="E136" s="9">
        <v>1.032</v>
      </c>
      <c r="F136" s="8" t="s">
        <v>5</v>
      </c>
      <c r="G136" s="15" t="s">
        <v>36</v>
      </c>
    </row>
    <row r="137" spans="1:7" x14ac:dyDescent="0.2">
      <c r="A137" s="10">
        <v>44718</v>
      </c>
      <c r="B137" s="13" t="str" cm="1">
        <f t="array" ref="B137">_xlfn.IFS(G137="Electronics","P001", G137="MRO","P002", G137="Office Supplies","P003", G137="Packaging","P004", G137="Raw Materials","P005")</f>
        <v>P005</v>
      </c>
      <c r="C137" s="11">
        <v>1417</v>
      </c>
      <c r="D137" s="11">
        <v>60.62</v>
      </c>
      <c r="E137" s="9">
        <v>0.89100000000000001</v>
      </c>
      <c r="F137" s="11" t="s">
        <v>5</v>
      </c>
      <c r="G137" s="16" t="s">
        <v>38</v>
      </c>
    </row>
    <row r="138" spans="1:7" x14ac:dyDescent="0.2">
      <c r="A138" s="7">
        <v>45204</v>
      </c>
      <c r="B138" s="14" t="str" cm="1">
        <f t="array" ref="B138">_xlfn.IFS(G138="Electronics","P001", G138="MRO","P002", G138="Office Supplies","P003", G138="Packaging","P004", G138="Raw Materials","P005")</f>
        <v>P005</v>
      </c>
      <c r="C138" s="8">
        <v>1202</v>
      </c>
      <c r="D138" s="8">
        <v>44.13</v>
      </c>
      <c r="E138" s="9">
        <v>0.94299999999999995</v>
      </c>
      <c r="F138" s="8" t="s">
        <v>6</v>
      </c>
      <c r="G138" s="15" t="s">
        <v>38</v>
      </c>
    </row>
    <row r="139" spans="1:7" x14ac:dyDescent="0.2">
      <c r="A139" s="10">
        <v>44725</v>
      </c>
      <c r="B139" s="13" t="str" cm="1">
        <f t="array" ref="B139">_xlfn.IFS(G139="Electronics","P001", G139="MRO","P002", G139="Office Supplies","P003", G139="Packaging","P004", G139="Raw Materials","P005")</f>
        <v>P003</v>
      </c>
      <c r="C139" s="11">
        <v>697</v>
      </c>
      <c r="D139" s="11">
        <v>19.829999999999998</v>
      </c>
      <c r="E139" s="9">
        <v>0.89100000000000001</v>
      </c>
      <c r="F139" s="11" t="s">
        <v>6</v>
      </c>
      <c r="G139" s="16" t="s">
        <v>35</v>
      </c>
    </row>
    <row r="140" spans="1:7" x14ac:dyDescent="0.2">
      <c r="A140" s="7">
        <v>45258</v>
      </c>
      <c r="B140" s="14" t="str" cm="1">
        <f t="array" ref="B140">_xlfn.IFS(G140="Electronics","P001", G140="MRO","P002", G140="Office Supplies","P003", G140="Packaging","P004", G140="Raw Materials","P005")</f>
        <v>P002</v>
      </c>
      <c r="C140" s="8">
        <v>1545</v>
      </c>
      <c r="D140" s="8">
        <v>76.91</v>
      </c>
      <c r="E140" s="9">
        <v>0.95299999999999996</v>
      </c>
      <c r="F140" s="8" t="s">
        <v>5</v>
      </c>
      <c r="G140" s="15" t="s">
        <v>36</v>
      </c>
    </row>
    <row r="141" spans="1:7" x14ac:dyDescent="0.2">
      <c r="A141" s="10">
        <v>44994</v>
      </c>
      <c r="B141" s="13" t="str" cm="1">
        <f t="array" ref="B141">_xlfn.IFS(G141="Electronics","P001", G141="MRO","P002", G141="Office Supplies","P003", G141="Packaging","P004", G141="Raw Materials","P005")</f>
        <v>P002</v>
      </c>
      <c r="C141" s="11">
        <v>1136</v>
      </c>
      <c r="D141" s="11">
        <v>58.25</v>
      </c>
      <c r="E141" s="9">
        <v>1.115</v>
      </c>
      <c r="F141" s="11" t="s">
        <v>5</v>
      </c>
      <c r="G141" s="16" t="s">
        <v>36</v>
      </c>
    </row>
    <row r="142" spans="1:7" x14ac:dyDescent="0.2">
      <c r="A142" s="7">
        <v>45172</v>
      </c>
      <c r="B142" s="13" t="str" cm="1">
        <f t="array" ref="B142">_xlfn.IFS(G142="Electronics","P001", G142="MRO","P002", G142="Office Supplies","P003", G142="Packaging","P004", G142="Raw Materials","P005")</f>
        <v>P002</v>
      </c>
      <c r="C142" s="8">
        <v>1212</v>
      </c>
      <c r="D142" s="8">
        <v>74.55</v>
      </c>
      <c r="E142" s="9">
        <v>0.98099999999999998</v>
      </c>
      <c r="F142" s="8" t="s">
        <v>6</v>
      </c>
      <c r="G142" s="15" t="s">
        <v>36</v>
      </c>
    </row>
    <row r="143" spans="1:7" x14ac:dyDescent="0.2">
      <c r="A143" s="10">
        <v>44627</v>
      </c>
      <c r="B143" s="14" t="str" cm="1">
        <f t="array" ref="B143">_xlfn.IFS(G143="Electronics","P001", G143="MRO","P002", G143="Office Supplies","P003", G143="Packaging","P004", G143="Raw Materials","P005")</f>
        <v>P002</v>
      </c>
      <c r="C143" s="11">
        <v>1572</v>
      </c>
      <c r="D143" s="11">
        <v>49.32</v>
      </c>
      <c r="E143" s="9">
        <v>1.115</v>
      </c>
      <c r="F143" s="11" t="s">
        <v>5</v>
      </c>
      <c r="G143" s="16" t="s">
        <v>36</v>
      </c>
    </row>
    <row r="144" spans="1:7" x14ac:dyDescent="0.2">
      <c r="A144" s="7">
        <v>44956</v>
      </c>
      <c r="B144" s="13" t="str" cm="1">
        <f t="array" ref="B144">_xlfn.IFS(G144="Electronics","P001", G144="MRO","P002", G144="Office Supplies","P003", G144="Packaging","P004", G144="Raw Materials","P005")</f>
        <v>P001</v>
      </c>
      <c r="C144" s="8">
        <v>642</v>
      </c>
      <c r="D144" s="8">
        <v>81.489999999999995</v>
      </c>
      <c r="E144" s="9">
        <v>0.999</v>
      </c>
      <c r="F144" s="8" t="s">
        <v>5</v>
      </c>
      <c r="G144" s="15" t="s">
        <v>39</v>
      </c>
    </row>
    <row r="145" spans="1:7" x14ac:dyDescent="0.2">
      <c r="A145" s="10">
        <v>44952</v>
      </c>
      <c r="B145" s="14" t="str" cm="1">
        <f t="array" ref="B145">_xlfn.IFS(G145="Electronics","P001", G145="MRO","P002", G145="Office Supplies","P003", G145="Packaging","P004", G145="Raw Materials","P005")</f>
        <v>P003</v>
      </c>
      <c r="C145" s="11">
        <v>441</v>
      </c>
      <c r="D145" s="11">
        <v>54.12</v>
      </c>
      <c r="E145" s="9">
        <v>0.999</v>
      </c>
      <c r="F145" s="11" t="s">
        <v>5</v>
      </c>
      <c r="G145" s="16" t="s">
        <v>35</v>
      </c>
    </row>
    <row r="146" spans="1:7" x14ac:dyDescent="0.2">
      <c r="A146" s="7">
        <v>45172</v>
      </c>
      <c r="B146" s="13" t="str" cm="1">
        <f t="array" ref="B146">_xlfn.IFS(G146="Electronics","P001", G146="MRO","P002", G146="Office Supplies","P003", G146="Packaging","P004", G146="Raw Materials","P005")</f>
        <v>P003</v>
      </c>
      <c r="C146" s="8">
        <v>1748</v>
      </c>
      <c r="D146" s="8">
        <v>57.11</v>
      </c>
      <c r="E146" s="9">
        <v>0.98099999999999998</v>
      </c>
      <c r="F146" s="8" t="s">
        <v>5</v>
      </c>
      <c r="G146" s="15" t="s">
        <v>35</v>
      </c>
    </row>
    <row r="147" spans="1:7" x14ac:dyDescent="0.2">
      <c r="A147" s="10">
        <v>45041</v>
      </c>
      <c r="B147" s="13" t="str" cm="1">
        <f t="array" ref="B147">_xlfn.IFS(G147="Electronics","P001", G147="MRO","P002", G147="Office Supplies","P003", G147="Packaging","P004", G147="Raw Materials","P005")</f>
        <v>P001</v>
      </c>
      <c r="C147" s="11">
        <v>468</v>
      </c>
      <c r="D147" s="11">
        <v>91.8</v>
      </c>
      <c r="E147" s="9">
        <v>1.032</v>
      </c>
      <c r="F147" s="11" t="s">
        <v>5</v>
      </c>
      <c r="G147" s="16" t="s">
        <v>39</v>
      </c>
    </row>
    <row r="148" spans="1:7" x14ac:dyDescent="0.2">
      <c r="A148" s="7">
        <v>45103</v>
      </c>
      <c r="B148" s="14" t="str" cm="1">
        <f t="array" ref="B148">_xlfn.IFS(G148="Electronics","P001", G148="MRO","P002", G148="Office Supplies","P003", G148="Packaging","P004", G148="Raw Materials","P005")</f>
        <v>P005</v>
      </c>
      <c r="C148" s="8">
        <v>338</v>
      </c>
      <c r="D148" s="8">
        <v>46.28</v>
      </c>
      <c r="E148" s="9">
        <v>0.89100000000000001</v>
      </c>
      <c r="F148" s="8" t="s">
        <v>6</v>
      </c>
      <c r="G148" s="15" t="s">
        <v>38</v>
      </c>
    </row>
    <row r="149" spans="1:7" x14ac:dyDescent="0.2">
      <c r="A149" s="10">
        <v>44819</v>
      </c>
      <c r="B149" s="13" t="str" cm="1">
        <f t="array" ref="B149">_xlfn.IFS(G149="Electronics","P001", G149="MRO","P002", G149="Office Supplies","P003", G149="Packaging","P004", G149="Raw Materials","P005")</f>
        <v>P003</v>
      </c>
      <c r="C149" s="11">
        <v>428</v>
      </c>
      <c r="D149" s="11">
        <v>21.52</v>
      </c>
      <c r="E149" s="9">
        <v>0.98099999999999998</v>
      </c>
      <c r="F149" s="11" t="s">
        <v>5</v>
      </c>
      <c r="G149" s="16" t="s">
        <v>35</v>
      </c>
    </row>
    <row r="150" spans="1:7" x14ac:dyDescent="0.2">
      <c r="A150" s="7">
        <v>45128</v>
      </c>
      <c r="B150" s="14" t="str" cm="1">
        <f t="array" ref="B150">_xlfn.IFS(G150="Electronics","P001", G150="MRO","P002", G150="Office Supplies","P003", G150="Packaging","P004", G150="Raw Materials","P005")</f>
        <v>P004</v>
      </c>
      <c r="C150" s="8">
        <v>1846</v>
      </c>
      <c r="D150" s="8">
        <v>12.62</v>
      </c>
      <c r="E150" s="9">
        <v>0.99199999999999999</v>
      </c>
      <c r="F150" s="8" t="s">
        <v>5</v>
      </c>
      <c r="G150" s="15" t="s">
        <v>37</v>
      </c>
    </row>
    <row r="151" spans="1:7" x14ac:dyDescent="0.2">
      <c r="A151" s="10">
        <v>44573</v>
      </c>
      <c r="B151" s="13" t="str" cm="1">
        <f t="array" ref="B151">_xlfn.IFS(G151="Electronics","P001", G151="MRO","P002", G151="Office Supplies","P003", G151="Packaging","P004", G151="Raw Materials","P005")</f>
        <v>P003</v>
      </c>
      <c r="C151" s="11">
        <v>1563</v>
      </c>
      <c r="D151" s="11">
        <v>70.8</v>
      </c>
      <c r="E151" s="9">
        <v>0.999</v>
      </c>
      <c r="F151" s="11" t="s">
        <v>5</v>
      </c>
      <c r="G151" s="16" t="s">
        <v>35</v>
      </c>
    </row>
    <row r="152" spans="1:7" x14ac:dyDescent="0.2">
      <c r="A152" s="7">
        <v>45258</v>
      </c>
      <c r="B152" s="13" t="str" cm="1">
        <f t="array" ref="B152">_xlfn.IFS(G152="Electronics","P001", G152="MRO","P002", G152="Office Supplies","P003", G152="Packaging","P004", G152="Raw Materials","P005")</f>
        <v>P003</v>
      </c>
      <c r="C152" s="8">
        <v>280</v>
      </c>
      <c r="D152" s="8">
        <v>69.290000000000006</v>
      </c>
      <c r="E152" s="9">
        <v>0.95299999999999996</v>
      </c>
      <c r="F152" s="8" t="s">
        <v>5</v>
      </c>
      <c r="G152" s="15" t="s">
        <v>35</v>
      </c>
    </row>
    <row r="153" spans="1:7" x14ac:dyDescent="0.2">
      <c r="A153" s="10">
        <v>44679</v>
      </c>
      <c r="B153" s="14" t="str" cm="1">
        <f t="array" ref="B153">_xlfn.IFS(G153="Electronics","P001", G153="MRO","P002", G153="Office Supplies","P003", G153="Packaging","P004", G153="Raw Materials","P005")</f>
        <v>P005</v>
      </c>
      <c r="C153" s="11">
        <v>1067</v>
      </c>
      <c r="D153" s="11">
        <v>64.16</v>
      </c>
      <c r="E153" s="9">
        <v>1.032</v>
      </c>
      <c r="F153" s="11" t="s">
        <v>6</v>
      </c>
      <c r="G153" s="16" t="s">
        <v>38</v>
      </c>
    </row>
    <row r="154" spans="1:7" x14ac:dyDescent="0.2">
      <c r="A154" s="7">
        <v>45260</v>
      </c>
      <c r="B154" s="13" t="str" cm="1">
        <f t="array" ref="B154">_xlfn.IFS(G154="Electronics","P001", G154="MRO","P002", G154="Office Supplies","P003", G154="Packaging","P004", G154="Raw Materials","P005")</f>
        <v>P001</v>
      </c>
      <c r="C154" s="8">
        <v>90</v>
      </c>
      <c r="D154" s="8">
        <v>29.96</v>
      </c>
      <c r="E154" s="9">
        <v>0.95299999999999996</v>
      </c>
      <c r="F154" s="8" t="s">
        <v>5</v>
      </c>
      <c r="G154" s="15" t="s">
        <v>39</v>
      </c>
    </row>
    <row r="155" spans="1:7" x14ac:dyDescent="0.2">
      <c r="A155" s="10">
        <v>45111</v>
      </c>
      <c r="B155" s="14" t="str" cm="1">
        <f t="array" ref="B155">_xlfn.IFS(G155="Electronics","P001", G155="MRO","P002", G155="Office Supplies","P003", G155="Packaging","P004", G155="Raw Materials","P005")</f>
        <v>P005</v>
      </c>
      <c r="C155" s="11">
        <v>1101</v>
      </c>
      <c r="D155" s="11">
        <v>22.73</v>
      </c>
      <c r="E155" s="9">
        <v>0.99199999999999999</v>
      </c>
      <c r="F155" s="11" t="s">
        <v>6</v>
      </c>
      <c r="G155" s="16" t="s">
        <v>38</v>
      </c>
    </row>
    <row r="156" spans="1:7" x14ac:dyDescent="0.2">
      <c r="A156" s="7">
        <v>44835</v>
      </c>
      <c r="B156" s="13" t="str" cm="1">
        <f t="array" ref="B156">_xlfn.IFS(G156="Electronics","P001", G156="MRO","P002", G156="Office Supplies","P003", G156="Packaging","P004", G156="Raw Materials","P005")</f>
        <v>P005</v>
      </c>
      <c r="C156" s="8">
        <v>184</v>
      </c>
      <c r="D156" s="8">
        <v>10.51</v>
      </c>
      <c r="E156" s="9">
        <v>0.94299999999999995</v>
      </c>
      <c r="F156" s="8" t="s">
        <v>5</v>
      </c>
      <c r="G156" s="15" t="s">
        <v>38</v>
      </c>
    </row>
    <row r="157" spans="1:7" x14ac:dyDescent="0.2">
      <c r="A157" s="10">
        <v>45218</v>
      </c>
      <c r="B157" s="13" t="str" cm="1">
        <f t="array" ref="B157">_xlfn.IFS(G157="Electronics","P001", G157="MRO","P002", G157="Office Supplies","P003", G157="Packaging","P004", G157="Raw Materials","P005")</f>
        <v>P001</v>
      </c>
      <c r="C157" s="11">
        <v>250</v>
      </c>
      <c r="D157" s="11">
        <v>41.02</v>
      </c>
      <c r="E157" s="9">
        <v>0.94299999999999995</v>
      </c>
      <c r="F157" s="11" t="s">
        <v>5</v>
      </c>
      <c r="G157" s="16" t="s">
        <v>39</v>
      </c>
    </row>
    <row r="158" spans="1:7" x14ac:dyDescent="0.2">
      <c r="A158" s="7">
        <v>44910</v>
      </c>
      <c r="B158" s="14" t="str" cm="1">
        <f t="array" ref="B158">_xlfn.IFS(G158="Electronics","P001", G158="MRO","P002", G158="Office Supplies","P003", G158="Packaging","P004", G158="Raw Materials","P005")</f>
        <v>P004</v>
      </c>
      <c r="C158" s="8">
        <v>1913</v>
      </c>
      <c r="D158" s="8">
        <v>61.34</v>
      </c>
      <c r="E158" s="9">
        <v>1.032</v>
      </c>
      <c r="F158" s="8" t="s">
        <v>5</v>
      </c>
      <c r="G158" s="15" t="s">
        <v>37</v>
      </c>
    </row>
    <row r="159" spans="1:7" x14ac:dyDescent="0.2">
      <c r="A159" s="10">
        <v>44676</v>
      </c>
      <c r="B159" s="13" t="str" cm="1">
        <f t="array" ref="B159">_xlfn.IFS(G159="Electronics","P001", G159="MRO","P002", G159="Office Supplies","P003", G159="Packaging","P004", G159="Raw Materials","P005")</f>
        <v>P001</v>
      </c>
      <c r="C159" s="11">
        <v>829</v>
      </c>
      <c r="D159" s="11">
        <v>40.39</v>
      </c>
      <c r="E159" s="9">
        <v>1.032</v>
      </c>
      <c r="F159" s="11" t="s">
        <v>5</v>
      </c>
      <c r="G159" s="16" t="s">
        <v>39</v>
      </c>
    </row>
    <row r="160" spans="1:7" x14ac:dyDescent="0.2">
      <c r="A160" s="7">
        <v>44862</v>
      </c>
      <c r="B160" s="14" t="str" cm="1">
        <f t="array" ref="B160">_xlfn.IFS(G160="Electronics","P001", G160="MRO","P002", G160="Office Supplies","P003", G160="Packaging","P004", G160="Raw Materials","P005")</f>
        <v>P005</v>
      </c>
      <c r="C160" s="8">
        <v>979</v>
      </c>
      <c r="D160" s="8">
        <v>49.69</v>
      </c>
      <c r="E160" s="9">
        <v>0.94299999999999995</v>
      </c>
      <c r="F160" s="8" t="s">
        <v>5</v>
      </c>
      <c r="G160" s="15" t="s">
        <v>38</v>
      </c>
    </row>
    <row r="161" spans="1:7" x14ac:dyDescent="0.2">
      <c r="A161" s="10">
        <v>45007</v>
      </c>
      <c r="B161" s="13" t="str" cm="1">
        <f t="array" ref="B161">_xlfn.IFS(G161="Electronics","P001", G161="MRO","P002", G161="Office Supplies","P003", G161="Packaging","P004", G161="Raw Materials","P005")</f>
        <v>P001</v>
      </c>
      <c r="C161" s="11">
        <v>1106</v>
      </c>
      <c r="D161" s="11">
        <v>90.45</v>
      </c>
      <c r="E161" s="9">
        <v>1.115</v>
      </c>
      <c r="F161" s="11" t="s">
        <v>5</v>
      </c>
      <c r="G161" s="16" t="s">
        <v>39</v>
      </c>
    </row>
    <row r="162" spans="1:7" x14ac:dyDescent="0.2">
      <c r="A162" s="7">
        <v>44723</v>
      </c>
      <c r="B162" s="13" t="str" cm="1">
        <f t="array" ref="B162">_xlfn.IFS(G162="Electronics","P001", G162="MRO","P002", G162="Office Supplies","P003", G162="Packaging","P004", G162="Raw Materials","P005")</f>
        <v>P003</v>
      </c>
      <c r="C162" s="8">
        <v>1121</v>
      </c>
      <c r="D162" s="8">
        <v>38.340000000000003</v>
      </c>
      <c r="E162" s="9">
        <v>0.89100000000000001</v>
      </c>
      <c r="F162" s="8" t="s">
        <v>5</v>
      </c>
      <c r="G162" s="15" t="s">
        <v>35</v>
      </c>
    </row>
    <row r="163" spans="1:7" x14ac:dyDescent="0.2">
      <c r="A163" s="10">
        <v>45026</v>
      </c>
      <c r="B163" s="14" t="str" cm="1">
        <f t="array" ref="B163">_xlfn.IFS(G163="Electronics","P001", G163="MRO","P002", G163="Office Supplies","P003", G163="Packaging","P004", G163="Raw Materials","P005")</f>
        <v>P003</v>
      </c>
      <c r="C163" s="11">
        <v>552</v>
      </c>
      <c r="D163" s="11">
        <v>56.78</v>
      </c>
      <c r="E163" s="9">
        <v>1.032</v>
      </c>
      <c r="F163" s="11" t="s">
        <v>5</v>
      </c>
      <c r="G163" s="16" t="s">
        <v>35</v>
      </c>
    </row>
    <row r="164" spans="1:7" x14ac:dyDescent="0.2">
      <c r="A164" s="7">
        <v>44565</v>
      </c>
      <c r="B164" s="13" t="str" cm="1">
        <f t="array" ref="B164">_xlfn.IFS(G164="Electronics","P001", G164="MRO","P002", G164="Office Supplies","P003", G164="Packaging","P004", G164="Raw Materials","P005")</f>
        <v>P004</v>
      </c>
      <c r="C164" s="8">
        <v>456</v>
      </c>
      <c r="D164" s="8">
        <v>77.86</v>
      </c>
      <c r="E164" s="9">
        <v>0.999</v>
      </c>
      <c r="F164" s="8" t="s">
        <v>5</v>
      </c>
      <c r="G164" s="15" t="s">
        <v>37</v>
      </c>
    </row>
    <row r="165" spans="1:7" x14ac:dyDescent="0.2">
      <c r="A165" s="10">
        <v>44831</v>
      </c>
      <c r="B165" s="14" t="str" cm="1">
        <f t="array" ref="B165">_xlfn.IFS(G165="Electronics","P001", G165="MRO","P002", G165="Office Supplies","P003", G165="Packaging","P004", G165="Raw Materials","P005")</f>
        <v>P004</v>
      </c>
      <c r="C165" s="11">
        <v>1647</v>
      </c>
      <c r="D165" s="11">
        <v>44.92</v>
      </c>
      <c r="E165" s="9">
        <v>0.98099999999999998</v>
      </c>
      <c r="F165" s="11" t="s">
        <v>5</v>
      </c>
      <c r="G165" s="16" t="s">
        <v>37</v>
      </c>
    </row>
    <row r="166" spans="1:7" x14ac:dyDescent="0.2">
      <c r="A166" s="7">
        <v>45074</v>
      </c>
      <c r="B166" s="13" t="str" cm="1">
        <f t="array" ref="B166">_xlfn.IFS(G166="Electronics","P001", G166="MRO","P002", G166="Office Supplies","P003", G166="Packaging","P004", G166="Raw Materials","P005")</f>
        <v>P001</v>
      </c>
      <c r="C166" s="8">
        <v>1801</v>
      </c>
      <c r="D166" s="8">
        <v>61.24</v>
      </c>
      <c r="E166" s="9">
        <v>0.98799999999999999</v>
      </c>
      <c r="F166" s="8" t="s">
        <v>5</v>
      </c>
      <c r="G166" s="15" t="s">
        <v>39</v>
      </c>
    </row>
    <row r="167" spans="1:7" x14ac:dyDescent="0.2">
      <c r="A167" s="10">
        <v>44744</v>
      </c>
      <c r="B167" s="13" t="str" cm="1">
        <f t="array" ref="B167">_xlfn.IFS(G167="Electronics","P001", G167="MRO","P002", G167="Office Supplies","P003", G167="Packaging","P004", G167="Raw Materials","P005")</f>
        <v>P001</v>
      </c>
      <c r="C167" s="11">
        <v>854</v>
      </c>
      <c r="D167" s="11">
        <v>85.53</v>
      </c>
      <c r="E167" s="9">
        <v>0.99199999999999999</v>
      </c>
      <c r="F167" s="11" t="s">
        <v>5</v>
      </c>
      <c r="G167" s="16" t="s">
        <v>39</v>
      </c>
    </row>
    <row r="168" spans="1:7" x14ac:dyDescent="0.2">
      <c r="A168" s="7">
        <v>45081</v>
      </c>
      <c r="B168" s="14" t="str" cm="1">
        <f t="array" ref="B168">_xlfn.IFS(G168="Electronics","P001", G168="MRO","P002", G168="Office Supplies","P003", G168="Packaging","P004", G168="Raw Materials","P005")</f>
        <v>P001</v>
      </c>
      <c r="C168" s="8">
        <v>148</v>
      </c>
      <c r="D168" s="8">
        <v>98.62</v>
      </c>
      <c r="E168" s="9">
        <v>0.89100000000000001</v>
      </c>
      <c r="F168" s="8" t="s">
        <v>6</v>
      </c>
      <c r="G168" s="15" t="s">
        <v>39</v>
      </c>
    </row>
    <row r="169" spans="1:7" x14ac:dyDescent="0.2">
      <c r="A169" s="10">
        <v>44670</v>
      </c>
      <c r="B169" s="13" t="str" cm="1">
        <f t="array" ref="B169">_xlfn.IFS(G169="Electronics","P001", G169="MRO","P002", G169="Office Supplies","P003", G169="Packaging","P004", G169="Raw Materials","P005")</f>
        <v>P002</v>
      </c>
      <c r="C169" s="11">
        <v>733</v>
      </c>
      <c r="D169" s="11">
        <v>22.85</v>
      </c>
      <c r="E169" s="9">
        <v>1.032</v>
      </c>
      <c r="F169" s="11" t="s">
        <v>5</v>
      </c>
      <c r="G169" s="16" t="s">
        <v>36</v>
      </c>
    </row>
    <row r="170" spans="1:7" x14ac:dyDescent="0.2">
      <c r="A170" s="7">
        <v>45202</v>
      </c>
      <c r="B170" s="14" t="str" cm="1">
        <f t="array" ref="B170">_xlfn.IFS(G170="Electronics","P001", G170="MRO","P002", G170="Office Supplies","P003", G170="Packaging","P004", G170="Raw Materials","P005")</f>
        <v>P005</v>
      </c>
      <c r="C170" s="8">
        <v>1945</v>
      </c>
      <c r="D170" s="8">
        <v>88.56</v>
      </c>
      <c r="E170" s="9">
        <v>0.94299999999999995</v>
      </c>
      <c r="F170" s="8" t="s">
        <v>5</v>
      </c>
      <c r="G170" s="15" t="s">
        <v>38</v>
      </c>
    </row>
    <row r="171" spans="1:7" x14ac:dyDescent="0.2">
      <c r="A171" s="10">
        <v>44867</v>
      </c>
      <c r="B171" s="13" t="str" cm="1">
        <f t="array" ref="B171">_xlfn.IFS(G171="Electronics","P001", G171="MRO","P002", G171="Office Supplies","P003", G171="Packaging","P004", G171="Raw Materials","P005")</f>
        <v>P005</v>
      </c>
      <c r="C171" s="11">
        <v>775</v>
      </c>
      <c r="D171" s="11">
        <v>49.14</v>
      </c>
      <c r="E171" s="9">
        <v>0.95299999999999996</v>
      </c>
      <c r="F171" s="11" t="s">
        <v>5</v>
      </c>
      <c r="G171" s="16" t="s">
        <v>38</v>
      </c>
    </row>
    <row r="172" spans="1:7" x14ac:dyDescent="0.2">
      <c r="A172" s="7">
        <v>45216</v>
      </c>
      <c r="B172" s="13" t="str" cm="1">
        <f t="array" ref="B172">_xlfn.IFS(G172="Electronics","P001", G172="MRO","P002", G172="Office Supplies","P003", G172="Packaging","P004", G172="Raw Materials","P005")</f>
        <v>P004</v>
      </c>
      <c r="C172" s="8">
        <v>1620</v>
      </c>
      <c r="D172" s="8">
        <v>33.450000000000003</v>
      </c>
      <c r="E172" s="9">
        <v>0.94299999999999995</v>
      </c>
      <c r="F172" s="8" t="s">
        <v>6</v>
      </c>
      <c r="G172" s="15" t="s">
        <v>37</v>
      </c>
    </row>
    <row r="173" spans="1:7" x14ac:dyDescent="0.2">
      <c r="A173" s="10">
        <v>45081</v>
      </c>
      <c r="B173" s="14" t="str" cm="1">
        <f t="array" ref="B173">_xlfn.IFS(G173="Electronics","P001", G173="MRO","P002", G173="Office Supplies","P003", G173="Packaging","P004", G173="Raw Materials","P005")</f>
        <v>P003</v>
      </c>
      <c r="C173" s="11">
        <v>1010</v>
      </c>
      <c r="D173" s="11">
        <v>50.86</v>
      </c>
      <c r="E173" s="9">
        <v>0.89100000000000001</v>
      </c>
      <c r="F173" s="11" t="s">
        <v>5</v>
      </c>
      <c r="G173" s="16" t="s">
        <v>35</v>
      </c>
    </row>
    <row r="174" spans="1:7" x14ac:dyDescent="0.2">
      <c r="A174" s="7">
        <v>45185</v>
      </c>
      <c r="B174" s="13" t="str" cm="1">
        <f t="array" ref="B174">_xlfn.IFS(G174="Electronics","P001", G174="MRO","P002", G174="Office Supplies","P003", G174="Packaging","P004", G174="Raw Materials","P005")</f>
        <v>P003</v>
      </c>
      <c r="C174" s="8">
        <v>1812</v>
      </c>
      <c r="D174" s="8">
        <v>101.02</v>
      </c>
      <c r="E174" s="9">
        <v>0.98099999999999998</v>
      </c>
      <c r="F174" s="8" t="s">
        <v>5</v>
      </c>
      <c r="G174" s="15" t="s">
        <v>35</v>
      </c>
    </row>
    <row r="175" spans="1:7" x14ac:dyDescent="0.2">
      <c r="A175" s="10">
        <v>44765</v>
      </c>
      <c r="B175" s="14" t="str" cm="1">
        <f t="array" ref="B175">_xlfn.IFS(G175="Electronics","P001", G175="MRO","P002", G175="Office Supplies","P003", G175="Packaging","P004", G175="Raw Materials","P005")</f>
        <v>P003</v>
      </c>
      <c r="C175" s="11">
        <v>662</v>
      </c>
      <c r="D175" s="11">
        <v>50</v>
      </c>
      <c r="E175" s="9">
        <v>0.99199999999999999</v>
      </c>
      <c r="F175" s="11" t="s">
        <v>5</v>
      </c>
      <c r="G175" s="16" t="s">
        <v>35</v>
      </c>
    </row>
    <row r="176" spans="1:7" x14ac:dyDescent="0.2">
      <c r="A176" s="7">
        <v>44718</v>
      </c>
      <c r="B176" s="13" t="str" cm="1">
        <f t="array" ref="B176">_xlfn.IFS(G176="Electronics","P001", G176="MRO","P002", G176="Office Supplies","P003", G176="Packaging","P004", G176="Raw Materials","P005")</f>
        <v>P003</v>
      </c>
      <c r="C176" s="8">
        <v>1535</v>
      </c>
      <c r="D176" s="8">
        <v>38.71</v>
      </c>
      <c r="E176" s="9">
        <v>0.89100000000000001</v>
      </c>
      <c r="F176" s="8" t="s">
        <v>5</v>
      </c>
      <c r="G176" s="15" t="s">
        <v>35</v>
      </c>
    </row>
    <row r="177" spans="1:7" x14ac:dyDescent="0.2">
      <c r="A177" s="10">
        <v>44944</v>
      </c>
      <c r="B177" s="13" t="str" cm="1">
        <f t="array" ref="B177">_xlfn.IFS(G177="Electronics","P001", G177="MRO","P002", G177="Office Supplies","P003", G177="Packaging","P004", G177="Raw Materials","P005")</f>
        <v>P005</v>
      </c>
      <c r="C177" s="11">
        <v>692</v>
      </c>
      <c r="D177" s="11">
        <v>67.739999999999995</v>
      </c>
      <c r="E177" s="9">
        <v>0.999</v>
      </c>
      <c r="F177" s="11" t="s">
        <v>5</v>
      </c>
      <c r="G177" s="16" t="s">
        <v>38</v>
      </c>
    </row>
    <row r="178" spans="1:7" x14ac:dyDescent="0.2">
      <c r="A178" s="7">
        <v>44727</v>
      </c>
      <c r="B178" s="14" t="str" cm="1">
        <f t="array" ref="B178">_xlfn.IFS(G178="Electronics","P001", G178="MRO","P002", G178="Office Supplies","P003", G178="Packaging","P004", G178="Raw Materials","P005")</f>
        <v>P002</v>
      </c>
      <c r="C178" s="8">
        <v>1842</v>
      </c>
      <c r="D178" s="8">
        <v>28.08</v>
      </c>
      <c r="E178" s="9">
        <v>0.89100000000000001</v>
      </c>
      <c r="F178" s="8" t="s">
        <v>5</v>
      </c>
      <c r="G178" s="15" t="s">
        <v>36</v>
      </c>
    </row>
    <row r="179" spans="1:7" x14ac:dyDescent="0.2">
      <c r="A179" s="10">
        <v>45114</v>
      </c>
      <c r="B179" s="13" t="str" cm="1">
        <f t="array" ref="B179">_xlfn.IFS(G179="Electronics","P001", G179="MRO","P002", G179="Office Supplies","P003", G179="Packaging","P004", G179="Raw Materials","P005")</f>
        <v>P003</v>
      </c>
      <c r="C179" s="11">
        <v>1078</v>
      </c>
      <c r="D179" s="11">
        <v>17.41</v>
      </c>
      <c r="E179" s="9">
        <v>0.99199999999999999</v>
      </c>
      <c r="F179" s="11" t="s">
        <v>5</v>
      </c>
      <c r="G179" s="16" t="s">
        <v>35</v>
      </c>
    </row>
    <row r="180" spans="1:7" x14ac:dyDescent="0.2">
      <c r="A180" s="7">
        <v>45105</v>
      </c>
      <c r="B180" s="14" t="str" cm="1">
        <f t="array" ref="B180">_xlfn.IFS(G180="Electronics","P001", G180="MRO","P002", G180="Office Supplies","P003", G180="Packaging","P004", G180="Raw Materials","P005")</f>
        <v>P004</v>
      </c>
      <c r="C180" s="8">
        <v>1291</v>
      </c>
      <c r="D180" s="8">
        <v>22.23</v>
      </c>
      <c r="E180" s="9">
        <v>0.89100000000000001</v>
      </c>
      <c r="F180" s="8" t="s">
        <v>5</v>
      </c>
      <c r="G180" s="15" t="s">
        <v>37</v>
      </c>
    </row>
    <row r="181" spans="1:7" x14ac:dyDescent="0.2">
      <c r="A181" s="10">
        <v>44562</v>
      </c>
      <c r="B181" s="13" t="str" cm="1">
        <f t="array" ref="B181">_xlfn.IFS(G181="Electronics","P001", G181="MRO","P002", G181="Office Supplies","P003", G181="Packaging","P004", G181="Raw Materials","P005")</f>
        <v>P001</v>
      </c>
      <c r="C181" s="11">
        <v>552</v>
      </c>
      <c r="D181" s="11">
        <v>18.79</v>
      </c>
      <c r="E181" s="9">
        <v>0.999</v>
      </c>
      <c r="F181" s="11" t="s">
        <v>5</v>
      </c>
      <c r="G181" s="16" t="s">
        <v>39</v>
      </c>
    </row>
    <row r="182" spans="1:7" x14ac:dyDescent="0.2">
      <c r="A182" s="7">
        <v>45175</v>
      </c>
      <c r="B182" s="13" t="str" cm="1">
        <f t="array" ref="B182">_xlfn.IFS(G182="Electronics","P001", G182="MRO","P002", G182="Office Supplies","P003", G182="Packaging","P004", G182="Raw Materials","P005")</f>
        <v>P001</v>
      </c>
      <c r="C182" s="8">
        <v>816</v>
      </c>
      <c r="D182" s="8">
        <v>25.61</v>
      </c>
      <c r="E182" s="9">
        <v>0.98099999999999998</v>
      </c>
      <c r="F182" s="8" t="s">
        <v>5</v>
      </c>
      <c r="G182" s="15" t="s">
        <v>39</v>
      </c>
    </row>
    <row r="183" spans="1:7" x14ac:dyDescent="0.2">
      <c r="A183" s="10">
        <v>44893</v>
      </c>
      <c r="B183" s="14" t="str" cm="1">
        <f t="array" ref="B183">_xlfn.IFS(G183="Electronics","P001", G183="MRO","P002", G183="Office Supplies","P003", G183="Packaging","P004", G183="Raw Materials","P005")</f>
        <v>P004</v>
      </c>
      <c r="C183" s="11">
        <v>447</v>
      </c>
      <c r="D183" s="11">
        <v>21.81</v>
      </c>
      <c r="E183" s="9">
        <v>0.95299999999999996</v>
      </c>
      <c r="F183" s="11" t="s">
        <v>5</v>
      </c>
      <c r="G183" s="16" t="s">
        <v>37</v>
      </c>
    </row>
    <row r="184" spans="1:7" x14ac:dyDescent="0.2">
      <c r="A184" s="7">
        <v>45062</v>
      </c>
      <c r="B184" s="13" t="str" cm="1">
        <f t="array" ref="B184">_xlfn.IFS(G184="Electronics","P001", G184="MRO","P002", G184="Office Supplies","P003", G184="Packaging","P004", G184="Raw Materials","P005")</f>
        <v>P004</v>
      </c>
      <c r="C184" s="8">
        <v>920</v>
      </c>
      <c r="D184" s="8">
        <v>70.14</v>
      </c>
      <c r="E184" s="9">
        <v>0.98799999999999999</v>
      </c>
      <c r="F184" s="8" t="s">
        <v>5</v>
      </c>
      <c r="G184" s="15" t="s">
        <v>37</v>
      </c>
    </row>
    <row r="185" spans="1:7" x14ac:dyDescent="0.2">
      <c r="A185" s="10">
        <v>44581</v>
      </c>
      <c r="B185" s="14" t="str" cm="1">
        <f t="array" ref="B185">_xlfn.IFS(G185="Electronics","P001", G185="MRO","P002", G185="Office Supplies","P003", G185="Packaging","P004", G185="Raw Materials","P005")</f>
        <v>P004</v>
      </c>
      <c r="C185" s="11">
        <v>844</v>
      </c>
      <c r="D185" s="11">
        <v>25.08</v>
      </c>
      <c r="E185" s="9">
        <v>0.999</v>
      </c>
      <c r="F185" s="11" t="s">
        <v>5</v>
      </c>
      <c r="G185" s="16" t="s">
        <v>37</v>
      </c>
    </row>
    <row r="186" spans="1:7" x14ac:dyDescent="0.2">
      <c r="A186" s="7">
        <v>44676</v>
      </c>
      <c r="B186" s="13" t="str" cm="1">
        <f t="array" ref="B186">_xlfn.IFS(G186="Electronics","P001", G186="MRO","P002", G186="Office Supplies","P003", G186="Packaging","P004", G186="Raw Materials","P005")</f>
        <v>P002</v>
      </c>
      <c r="C186" s="8">
        <v>442</v>
      </c>
      <c r="D186" s="8">
        <v>36.450000000000003</v>
      </c>
      <c r="E186" s="9">
        <v>1.032</v>
      </c>
      <c r="F186" s="8" t="s">
        <v>5</v>
      </c>
      <c r="G186" s="15" t="s">
        <v>36</v>
      </c>
    </row>
    <row r="187" spans="1:7" x14ac:dyDescent="0.2">
      <c r="A187" s="10">
        <v>44933</v>
      </c>
      <c r="B187" s="13" t="str" cm="1">
        <f t="array" ref="B187">_xlfn.IFS(G187="Electronics","P001", G187="MRO","P002", G187="Office Supplies","P003", G187="Packaging","P004", G187="Raw Materials","P005")</f>
        <v>P001</v>
      </c>
      <c r="C187" s="11">
        <v>256</v>
      </c>
      <c r="D187" s="11">
        <v>83.44</v>
      </c>
      <c r="E187" s="9">
        <v>0.999</v>
      </c>
      <c r="F187" s="11" t="s">
        <v>5</v>
      </c>
      <c r="G187" s="16" t="s">
        <v>39</v>
      </c>
    </row>
    <row r="188" spans="1:7" x14ac:dyDescent="0.2">
      <c r="A188" s="7">
        <v>44876</v>
      </c>
      <c r="B188" s="14" t="str" cm="1">
        <f t="array" ref="B188">_xlfn.IFS(G188="Electronics","P001", G188="MRO","P002", G188="Office Supplies","P003", G188="Packaging","P004", G188="Raw Materials","P005")</f>
        <v>P002</v>
      </c>
      <c r="C188" s="8">
        <v>1088</v>
      </c>
      <c r="D188" s="8">
        <v>53.04</v>
      </c>
      <c r="E188" s="9">
        <v>0.95299999999999996</v>
      </c>
      <c r="F188" s="8" t="s">
        <v>6</v>
      </c>
      <c r="G188" s="15" t="s">
        <v>36</v>
      </c>
    </row>
    <row r="189" spans="1:7" x14ac:dyDescent="0.2">
      <c r="A189" s="10">
        <v>44807</v>
      </c>
      <c r="B189" s="13" t="str" cm="1">
        <f t="array" ref="B189">_xlfn.IFS(G189="Electronics","P001", G189="MRO","P002", G189="Office Supplies","P003", G189="Packaging","P004", G189="Raw Materials","P005")</f>
        <v>P003</v>
      </c>
      <c r="C189" s="11">
        <v>1931</v>
      </c>
      <c r="D189" s="11">
        <v>64.69</v>
      </c>
      <c r="E189" s="9">
        <v>0.98099999999999998</v>
      </c>
      <c r="F189" s="11" t="s">
        <v>5</v>
      </c>
      <c r="G189" s="16" t="s">
        <v>35</v>
      </c>
    </row>
    <row r="190" spans="1:7" x14ac:dyDescent="0.2">
      <c r="A190" s="7">
        <v>44621</v>
      </c>
      <c r="B190" s="14" t="str" cm="1">
        <f t="array" ref="B190">_xlfn.IFS(G190="Electronics","P001", G190="MRO","P002", G190="Office Supplies","P003", G190="Packaging","P004", G190="Raw Materials","P005")</f>
        <v>P001</v>
      </c>
      <c r="C190" s="8">
        <v>1627</v>
      </c>
      <c r="D190" s="8">
        <v>25.09</v>
      </c>
      <c r="E190" s="9">
        <v>1.115</v>
      </c>
      <c r="F190" s="8" t="s">
        <v>5</v>
      </c>
      <c r="G190" s="15" t="s">
        <v>39</v>
      </c>
    </row>
    <row r="191" spans="1:7" x14ac:dyDescent="0.2">
      <c r="A191" s="10">
        <v>44808</v>
      </c>
      <c r="B191" s="13" t="str" cm="1">
        <f t="array" ref="B191">_xlfn.IFS(G191="Electronics","P001", G191="MRO","P002", G191="Office Supplies","P003", G191="Packaging","P004", G191="Raw Materials","P005")</f>
        <v>P004</v>
      </c>
      <c r="C191" s="11">
        <v>941</v>
      </c>
      <c r="D191" s="11">
        <v>27.21</v>
      </c>
      <c r="E191" s="9">
        <v>0.98099999999999998</v>
      </c>
      <c r="F191" s="11" t="s">
        <v>6</v>
      </c>
      <c r="G191" s="16" t="s">
        <v>37</v>
      </c>
    </row>
    <row r="192" spans="1:7" x14ac:dyDescent="0.2">
      <c r="A192" s="7">
        <v>45142</v>
      </c>
      <c r="B192" s="13" t="str" cm="1">
        <f t="array" ref="B192">_xlfn.IFS(G192="Electronics","P001", G192="MRO","P002", G192="Office Supplies","P003", G192="Packaging","P004", G192="Raw Materials","P005")</f>
        <v>P002</v>
      </c>
      <c r="C192" s="8">
        <v>1534</v>
      </c>
      <c r="D192" s="8">
        <v>12.79</v>
      </c>
      <c r="E192" s="9">
        <v>0.96899999999999997</v>
      </c>
      <c r="F192" s="8" t="s">
        <v>5</v>
      </c>
      <c r="G192" s="15" t="s">
        <v>36</v>
      </c>
    </row>
    <row r="193" spans="1:7" x14ac:dyDescent="0.2">
      <c r="A193" s="10">
        <v>44642</v>
      </c>
      <c r="B193" s="14" t="str" cm="1">
        <f t="array" ref="B193">_xlfn.IFS(G193="Electronics","P001", G193="MRO","P002", G193="Office Supplies","P003", G193="Packaging","P004", G193="Raw Materials","P005")</f>
        <v>P005</v>
      </c>
      <c r="C193" s="11">
        <v>1764</v>
      </c>
      <c r="D193" s="11">
        <v>24.52</v>
      </c>
      <c r="E193" s="9">
        <v>1.115</v>
      </c>
      <c r="F193" s="11" t="s">
        <v>5</v>
      </c>
      <c r="G193" s="16" t="s">
        <v>38</v>
      </c>
    </row>
    <row r="194" spans="1:7" x14ac:dyDescent="0.2">
      <c r="A194" s="7">
        <v>44649</v>
      </c>
      <c r="B194" s="13" t="str" cm="1">
        <f t="array" ref="B194">_xlfn.IFS(G194="Electronics","P001", G194="MRO","P002", G194="Office Supplies","P003", G194="Packaging","P004", G194="Raw Materials","P005")</f>
        <v>P001</v>
      </c>
      <c r="C194" s="8">
        <v>1648</v>
      </c>
      <c r="D194" s="8">
        <v>31.46</v>
      </c>
      <c r="E194" s="9">
        <v>1.115</v>
      </c>
      <c r="F194" s="8" t="s">
        <v>6</v>
      </c>
      <c r="G194" s="15" t="s">
        <v>39</v>
      </c>
    </row>
    <row r="195" spans="1:7" x14ac:dyDescent="0.2">
      <c r="A195" s="10">
        <v>45059</v>
      </c>
      <c r="B195" s="14" t="str" cm="1">
        <f t="array" ref="B195">_xlfn.IFS(G195="Electronics","P001", G195="MRO","P002", G195="Office Supplies","P003", G195="Packaging","P004", G195="Raw Materials","P005")</f>
        <v>P004</v>
      </c>
      <c r="C195" s="11">
        <v>913</v>
      </c>
      <c r="D195" s="11">
        <v>24.06</v>
      </c>
      <c r="E195" s="9">
        <v>0.98799999999999999</v>
      </c>
      <c r="F195" s="11" t="s">
        <v>5</v>
      </c>
      <c r="G195" s="16" t="s">
        <v>37</v>
      </c>
    </row>
    <row r="196" spans="1:7" x14ac:dyDescent="0.2">
      <c r="A196" s="7">
        <v>44632</v>
      </c>
      <c r="B196" s="13" t="str" cm="1">
        <f t="array" ref="B196">_xlfn.IFS(G196="Electronics","P001", G196="MRO","P002", G196="Office Supplies","P003", G196="Packaging","P004", G196="Raw Materials","P005")</f>
        <v>P004</v>
      </c>
      <c r="C196" s="8">
        <v>792</v>
      </c>
      <c r="D196" s="8">
        <v>17.25</v>
      </c>
      <c r="E196" s="9">
        <v>1.115</v>
      </c>
      <c r="F196" s="8" t="s">
        <v>5</v>
      </c>
      <c r="G196" s="15" t="s">
        <v>37</v>
      </c>
    </row>
    <row r="197" spans="1:7" x14ac:dyDescent="0.2">
      <c r="A197" s="10">
        <v>45107</v>
      </c>
      <c r="B197" s="13" t="str" cm="1">
        <f t="array" ref="B197">_xlfn.IFS(G197="Electronics","P001", G197="MRO","P002", G197="Office Supplies","P003", G197="Packaging","P004", G197="Raw Materials","P005")</f>
        <v>P003</v>
      </c>
      <c r="C197" s="11">
        <v>1314</v>
      </c>
      <c r="D197" s="11">
        <v>21.06</v>
      </c>
      <c r="E197" s="9">
        <v>0.89100000000000001</v>
      </c>
      <c r="F197" s="11" t="s">
        <v>5</v>
      </c>
      <c r="G197" s="16" t="s">
        <v>35</v>
      </c>
    </row>
    <row r="198" spans="1:7" x14ac:dyDescent="0.2">
      <c r="A198" s="7">
        <v>44690</v>
      </c>
      <c r="B198" s="14" t="str" cm="1">
        <f t="array" ref="B198">_xlfn.IFS(G198="Electronics","P001", G198="MRO","P002", G198="Office Supplies","P003", G198="Packaging","P004", G198="Raw Materials","P005")</f>
        <v>P002</v>
      </c>
      <c r="C198" s="8">
        <v>613</v>
      </c>
      <c r="D198" s="8">
        <v>45.19</v>
      </c>
      <c r="E198" s="9">
        <v>0.98799999999999999</v>
      </c>
      <c r="F198" s="8" t="s">
        <v>5</v>
      </c>
      <c r="G198" s="15" t="s">
        <v>36</v>
      </c>
    </row>
    <row r="199" spans="1:7" x14ac:dyDescent="0.2">
      <c r="A199" s="10">
        <v>44693</v>
      </c>
      <c r="B199" s="13" t="str" cm="1">
        <f t="array" ref="B199">_xlfn.IFS(G199="Electronics","P001", G199="MRO","P002", G199="Office Supplies","P003", G199="Packaging","P004", G199="Raw Materials","P005")</f>
        <v>P003</v>
      </c>
      <c r="C199" s="11">
        <v>1070</v>
      </c>
      <c r="D199" s="11">
        <v>26.63</v>
      </c>
      <c r="E199" s="9">
        <v>0.98799999999999999</v>
      </c>
      <c r="F199" s="11" t="s">
        <v>5</v>
      </c>
      <c r="G199" s="16" t="s">
        <v>35</v>
      </c>
    </row>
    <row r="200" spans="1:7" x14ac:dyDescent="0.2">
      <c r="A200" s="7">
        <v>45237</v>
      </c>
      <c r="B200" s="14" t="str" cm="1">
        <f t="array" ref="B200">_xlfn.IFS(G200="Electronics","P001", G200="MRO","P002", G200="Office Supplies","P003", G200="Packaging","P004", G200="Raw Materials","P005")</f>
        <v>P005</v>
      </c>
      <c r="C200" s="8">
        <v>145</v>
      </c>
      <c r="D200" s="8">
        <v>42.76</v>
      </c>
      <c r="E200" s="9">
        <v>0.95299999999999996</v>
      </c>
      <c r="F200" s="8" t="s">
        <v>5</v>
      </c>
      <c r="G200" s="15" t="s">
        <v>38</v>
      </c>
    </row>
    <row r="201" spans="1:7" x14ac:dyDescent="0.2">
      <c r="A201" s="10">
        <v>45048</v>
      </c>
      <c r="B201" s="13" t="str" cm="1">
        <f t="array" ref="B201">_xlfn.IFS(G201="Electronics","P001", G201="MRO","P002", G201="Office Supplies","P003", G201="Packaging","P004", G201="Raw Materials","P005")</f>
        <v>P005</v>
      </c>
      <c r="C201" s="11">
        <v>1973</v>
      </c>
      <c r="D201" s="11">
        <v>54.95</v>
      </c>
      <c r="E201" s="9">
        <v>0.98799999999999999</v>
      </c>
      <c r="F201" s="11" t="s">
        <v>5</v>
      </c>
      <c r="G201" s="16" t="s">
        <v>38</v>
      </c>
    </row>
    <row r="202" spans="1:7" x14ac:dyDescent="0.2">
      <c r="A202" s="7">
        <v>45124</v>
      </c>
      <c r="B202" s="13" t="str" cm="1">
        <f t="array" ref="B202">_xlfn.IFS(G202="Electronics","P001", G202="MRO","P002", G202="Office Supplies","P003", G202="Packaging","P004", G202="Raw Materials","P005")</f>
        <v>P003</v>
      </c>
      <c r="C202" s="8">
        <v>1807</v>
      </c>
      <c r="D202" s="8">
        <v>73.08</v>
      </c>
      <c r="E202" s="9">
        <v>0.99199999999999999</v>
      </c>
      <c r="F202" s="8" t="s">
        <v>5</v>
      </c>
      <c r="G202" s="15" t="s">
        <v>35</v>
      </c>
    </row>
    <row r="203" spans="1:7" x14ac:dyDescent="0.2">
      <c r="A203" s="10">
        <v>44731</v>
      </c>
      <c r="B203" s="14" t="str" cm="1">
        <f t="array" ref="B203">_xlfn.IFS(G203="Electronics","P001", G203="MRO","P002", G203="Office Supplies","P003", G203="Packaging","P004", G203="Raw Materials","P005")</f>
        <v>P001</v>
      </c>
      <c r="C203" s="11">
        <v>534</v>
      </c>
      <c r="D203" s="11">
        <v>12.51</v>
      </c>
      <c r="E203" s="9">
        <v>0.89100000000000001</v>
      </c>
      <c r="F203" s="11" t="s">
        <v>5</v>
      </c>
      <c r="G203" s="16" t="s">
        <v>39</v>
      </c>
    </row>
    <row r="204" spans="1:7" x14ac:dyDescent="0.2">
      <c r="A204" s="7">
        <v>44833</v>
      </c>
      <c r="B204" s="13" t="str" cm="1">
        <f t="array" ref="B204">_xlfn.IFS(G204="Electronics","P001", G204="MRO","P002", G204="Office Supplies","P003", G204="Packaging","P004", G204="Raw Materials","P005")</f>
        <v>P001</v>
      </c>
      <c r="C204" s="8">
        <v>1480</v>
      </c>
      <c r="D204" s="8">
        <v>75.48</v>
      </c>
      <c r="E204" s="9">
        <v>0.98099999999999998</v>
      </c>
      <c r="F204" s="8" t="s">
        <v>5</v>
      </c>
      <c r="G204" s="15" t="s">
        <v>39</v>
      </c>
    </row>
    <row r="205" spans="1:7" x14ac:dyDescent="0.2">
      <c r="A205" s="10">
        <v>45102</v>
      </c>
      <c r="B205" s="14" t="str" cm="1">
        <f t="array" ref="B205">_xlfn.IFS(G205="Electronics","P001", G205="MRO","P002", G205="Office Supplies","P003", G205="Packaging","P004", G205="Raw Materials","P005")</f>
        <v>P003</v>
      </c>
      <c r="C205" s="11">
        <v>280</v>
      </c>
      <c r="D205" s="11">
        <v>62.38</v>
      </c>
      <c r="E205" s="9">
        <v>0.89100000000000001</v>
      </c>
      <c r="F205" s="11" t="s">
        <v>5</v>
      </c>
      <c r="G205" s="16" t="s">
        <v>35</v>
      </c>
    </row>
    <row r="206" spans="1:7" x14ac:dyDescent="0.2">
      <c r="A206" s="7">
        <v>45183</v>
      </c>
      <c r="B206" s="13" t="str" cm="1">
        <f t="array" ref="B206">_xlfn.IFS(G206="Electronics","P001", G206="MRO","P002", G206="Office Supplies","P003", G206="Packaging","P004", G206="Raw Materials","P005")</f>
        <v>P003</v>
      </c>
      <c r="C206" s="8">
        <v>798</v>
      </c>
      <c r="D206" s="8">
        <v>17.760000000000002</v>
      </c>
      <c r="E206" s="9">
        <v>0.98099999999999998</v>
      </c>
      <c r="F206" s="8" t="s">
        <v>5</v>
      </c>
      <c r="G206" s="15" t="s">
        <v>35</v>
      </c>
    </row>
    <row r="207" spans="1:7" x14ac:dyDescent="0.2">
      <c r="A207" s="10">
        <v>44995</v>
      </c>
      <c r="B207" s="13" t="str" cm="1">
        <f t="array" ref="B207">_xlfn.IFS(G207="Electronics","P001", G207="MRO","P002", G207="Office Supplies","P003", G207="Packaging","P004", G207="Raw Materials","P005")</f>
        <v>P001</v>
      </c>
      <c r="C207" s="11">
        <v>1728</v>
      </c>
      <c r="D207" s="11">
        <v>90.2</v>
      </c>
      <c r="E207" s="9">
        <v>1.115</v>
      </c>
      <c r="F207" s="11" t="s">
        <v>5</v>
      </c>
      <c r="G207" s="16" t="s">
        <v>39</v>
      </c>
    </row>
    <row r="208" spans="1:7" x14ac:dyDescent="0.2">
      <c r="A208" s="7">
        <v>44778</v>
      </c>
      <c r="B208" s="14" t="str" cm="1">
        <f t="array" ref="B208">_xlfn.IFS(G208="Electronics","P001", G208="MRO","P002", G208="Office Supplies","P003", G208="Packaging","P004", G208="Raw Materials","P005")</f>
        <v>P002</v>
      </c>
      <c r="C208" s="8">
        <v>1244</v>
      </c>
      <c r="D208" s="8">
        <v>84.78</v>
      </c>
      <c r="E208" s="9">
        <v>0.96899999999999997</v>
      </c>
      <c r="F208" s="8" t="s">
        <v>5</v>
      </c>
      <c r="G208" s="15" t="s">
        <v>36</v>
      </c>
    </row>
    <row r="209" spans="1:7" x14ac:dyDescent="0.2">
      <c r="A209" s="10">
        <v>45114</v>
      </c>
      <c r="B209" s="13" t="str" cm="1">
        <f t="array" ref="B209">_xlfn.IFS(G209="Electronics","P001", G209="MRO","P002", G209="Office Supplies","P003", G209="Packaging","P004", G209="Raw Materials","P005")</f>
        <v>P003</v>
      </c>
      <c r="C209" s="11">
        <v>590</v>
      </c>
      <c r="D209" s="11">
        <v>15.56</v>
      </c>
      <c r="E209" s="9">
        <v>0.99199999999999999</v>
      </c>
      <c r="F209" s="11" t="s">
        <v>6</v>
      </c>
      <c r="G209" s="16" t="s">
        <v>35</v>
      </c>
    </row>
    <row r="210" spans="1:7" x14ac:dyDescent="0.2">
      <c r="A210" s="7">
        <v>45268</v>
      </c>
      <c r="B210" s="14" t="str" cm="1">
        <f t="array" ref="B210">_xlfn.IFS(G210="Electronics","P001", G210="MRO","P002", G210="Office Supplies","P003", G210="Packaging","P004", G210="Raw Materials","P005")</f>
        <v>P004</v>
      </c>
      <c r="C210" s="8">
        <v>1109</v>
      </c>
      <c r="D210" s="8">
        <v>33.33</v>
      </c>
      <c r="E210" s="9">
        <v>1.032</v>
      </c>
      <c r="F210" s="8" t="s">
        <v>5</v>
      </c>
      <c r="G210" s="15" t="s">
        <v>37</v>
      </c>
    </row>
    <row r="211" spans="1:7" x14ac:dyDescent="0.2">
      <c r="A211" s="10">
        <v>44767</v>
      </c>
      <c r="B211" s="13" t="str" cm="1">
        <f t="array" ref="B211">_xlfn.IFS(G211="Electronics","P001", G211="MRO","P002", G211="Office Supplies","P003", G211="Packaging","P004", G211="Raw Materials","P005")</f>
        <v>P002</v>
      </c>
      <c r="C211" s="11">
        <v>574</v>
      </c>
      <c r="D211" s="11">
        <v>82.55</v>
      </c>
      <c r="E211" s="9">
        <v>0.99199999999999999</v>
      </c>
      <c r="F211" s="11" t="s">
        <v>5</v>
      </c>
      <c r="G211" s="16" t="s">
        <v>36</v>
      </c>
    </row>
    <row r="212" spans="1:7" x14ac:dyDescent="0.2">
      <c r="A212" s="7">
        <v>45292</v>
      </c>
      <c r="B212" s="13" t="str" cm="1">
        <f t="array" ref="B212">_xlfn.IFS(G212="Electronics","P001", G212="MRO","P002", G212="Office Supplies","P003", G212="Packaging","P004", G212="Raw Materials","P005")</f>
        <v>P003</v>
      </c>
      <c r="C212" s="8">
        <v>1233</v>
      </c>
      <c r="D212" s="8">
        <v>76.59</v>
      </c>
      <c r="E212" s="9">
        <v>0.999</v>
      </c>
      <c r="F212" s="8" t="s">
        <v>5</v>
      </c>
      <c r="G212" s="15" t="s">
        <v>35</v>
      </c>
    </row>
    <row r="213" spans="1:7" x14ac:dyDescent="0.2">
      <c r="A213" s="10">
        <v>44881</v>
      </c>
      <c r="B213" s="14" t="str" cm="1">
        <f t="array" ref="B213">_xlfn.IFS(G213="Electronics","P001", G213="MRO","P002", G213="Office Supplies","P003", G213="Packaging","P004", G213="Raw Materials","P005")</f>
        <v>P004</v>
      </c>
      <c r="C213" s="11">
        <v>1912</v>
      </c>
      <c r="D213" s="11">
        <v>25.59</v>
      </c>
      <c r="E213" s="9">
        <v>0.95299999999999996</v>
      </c>
      <c r="F213" s="11" t="s">
        <v>6</v>
      </c>
      <c r="G213" s="16" t="s">
        <v>37</v>
      </c>
    </row>
    <row r="214" spans="1:7" x14ac:dyDescent="0.2">
      <c r="A214" s="7">
        <v>44970</v>
      </c>
      <c r="B214" s="13" t="str" cm="1">
        <f t="array" ref="B214">_xlfn.IFS(G214="Electronics","P001", G214="MRO","P002", G214="Office Supplies","P003", G214="Packaging","P004", G214="Raw Materials","P005")</f>
        <v>P004</v>
      </c>
      <c r="C214" s="8">
        <v>1772</v>
      </c>
      <c r="D214" s="8">
        <v>27.76</v>
      </c>
      <c r="E214" s="9">
        <v>1.0920000000000001</v>
      </c>
      <c r="F214" s="8" t="s">
        <v>6</v>
      </c>
      <c r="G214" s="15" t="s">
        <v>37</v>
      </c>
    </row>
    <row r="215" spans="1:7" x14ac:dyDescent="0.2">
      <c r="A215" s="10">
        <v>45249</v>
      </c>
      <c r="B215" s="14" t="str" cm="1">
        <f t="array" ref="B215">_xlfn.IFS(G215="Electronics","P001", G215="MRO","P002", G215="Office Supplies","P003", G215="Packaging","P004", G215="Raw Materials","P005")</f>
        <v>P003</v>
      </c>
      <c r="C215" s="11">
        <v>1316</v>
      </c>
      <c r="D215" s="11">
        <v>41.9</v>
      </c>
      <c r="E215" s="9">
        <v>0.95299999999999996</v>
      </c>
      <c r="F215" s="11" t="s">
        <v>5</v>
      </c>
      <c r="G215" s="16" t="s">
        <v>35</v>
      </c>
    </row>
    <row r="216" spans="1:7" x14ac:dyDescent="0.2">
      <c r="A216" s="7">
        <v>45227</v>
      </c>
      <c r="B216" s="13" t="str" cm="1">
        <f t="array" ref="B216">_xlfn.IFS(G216="Electronics","P001", G216="MRO","P002", G216="Office Supplies","P003", G216="Packaging","P004", G216="Raw Materials","P005")</f>
        <v>P003</v>
      </c>
      <c r="C216" s="8">
        <v>1159</v>
      </c>
      <c r="D216" s="8">
        <v>58.08</v>
      </c>
      <c r="E216" s="9">
        <v>0.94299999999999995</v>
      </c>
      <c r="F216" s="8" t="s">
        <v>5</v>
      </c>
      <c r="G216" s="15" t="s">
        <v>35</v>
      </c>
    </row>
    <row r="217" spans="1:7" x14ac:dyDescent="0.2">
      <c r="A217" s="10">
        <v>44944</v>
      </c>
      <c r="B217" s="13" t="str" cm="1">
        <f t="array" ref="B217">_xlfn.IFS(G217="Electronics","P001", G217="MRO","P002", G217="Office Supplies","P003", G217="Packaging","P004", G217="Raw Materials","P005")</f>
        <v>P003</v>
      </c>
      <c r="C217" s="11">
        <v>1869</v>
      </c>
      <c r="D217" s="11">
        <v>67.5</v>
      </c>
      <c r="E217" s="9">
        <v>0.999</v>
      </c>
      <c r="F217" s="11" t="s">
        <v>5</v>
      </c>
      <c r="G217" s="16" t="s">
        <v>35</v>
      </c>
    </row>
    <row r="218" spans="1:7" x14ac:dyDescent="0.2">
      <c r="A218" s="7">
        <v>45010</v>
      </c>
      <c r="B218" s="14" t="str" cm="1">
        <f t="array" ref="B218">_xlfn.IFS(G218="Electronics","P001", G218="MRO","P002", G218="Office Supplies","P003", G218="Packaging","P004", G218="Raw Materials","P005")</f>
        <v>P004</v>
      </c>
      <c r="C218" s="8">
        <v>627</v>
      </c>
      <c r="D218" s="8">
        <v>42.87</v>
      </c>
      <c r="E218" s="9">
        <v>1.115</v>
      </c>
      <c r="F218" s="8" t="s">
        <v>5</v>
      </c>
      <c r="G218" s="15" t="s">
        <v>37</v>
      </c>
    </row>
    <row r="219" spans="1:7" x14ac:dyDescent="0.2">
      <c r="A219" s="10">
        <v>45091</v>
      </c>
      <c r="B219" s="13" t="str" cm="1">
        <f t="array" ref="B219">_xlfn.IFS(G219="Electronics","P001", G219="MRO","P002", G219="Office Supplies","P003", G219="Packaging","P004", G219="Raw Materials","P005")</f>
        <v>P005</v>
      </c>
      <c r="C219" s="11">
        <v>731</v>
      </c>
      <c r="D219" s="11">
        <v>54.78</v>
      </c>
      <c r="E219" s="9">
        <v>0.89100000000000001</v>
      </c>
      <c r="F219" s="11" t="s">
        <v>6</v>
      </c>
      <c r="G219" s="16" t="s">
        <v>38</v>
      </c>
    </row>
    <row r="220" spans="1:7" x14ac:dyDescent="0.2">
      <c r="A220" s="7">
        <v>45024</v>
      </c>
      <c r="B220" s="14" t="str" cm="1">
        <f t="array" ref="B220">_xlfn.IFS(G220="Electronics","P001", G220="MRO","P002", G220="Office Supplies","P003", G220="Packaging","P004", G220="Raw Materials","P005")</f>
        <v>P003</v>
      </c>
      <c r="C220" s="8">
        <v>606</v>
      </c>
      <c r="D220" s="8">
        <v>79.22</v>
      </c>
      <c r="E220" s="9">
        <v>1.032</v>
      </c>
      <c r="F220" s="8" t="s">
        <v>5</v>
      </c>
      <c r="G220" s="15" t="s">
        <v>35</v>
      </c>
    </row>
    <row r="221" spans="1:7" x14ac:dyDescent="0.2">
      <c r="A221" s="10">
        <v>44685</v>
      </c>
      <c r="B221" s="13" t="str" cm="1">
        <f t="array" ref="B221">_xlfn.IFS(G221="Electronics","P001", G221="MRO","P002", G221="Office Supplies","P003", G221="Packaging","P004", G221="Raw Materials","P005")</f>
        <v>P003</v>
      </c>
      <c r="C221" s="11">
        <v>1647</v>
      </c>
      <c r="D221" s="11">
        <v>12.33</v>
      </c>
      <c r="E221" s="9">
        <v>0.98799999999999999</v>
      </c>
      <c r="F221" s="11" t="s">
        <v>5</v>
      </c>
      <c r="G221" s="16" t="s">
        <v>35</v>
      </c>
    </row>
    <row r="222" spans="1:7" x14ac:dyDescent="0.2">
      <c r="A222" s="7">
        <v>44815</v>
      </c>
      <c r="B222" s="13" t="str" cm="1">
        <f t="array" ref="B222">_xlfn.IFS(G222="Electronics","P001", G222="MRO","P002", G222="Office Supplies","P003", G222="Packaging","P004", G222="Raw Materials","P005")</f>
        <v>P002</v>
      </c>
      <c r="C222" s="8">
        <v>1062</v>
      </c>
      <c r="D222" s="8">
        <v>30.46</v>
      </c>
      <c r="E222" s="9">
        <v>0.98099999999999998</v>
      </c>
      <c r="F222" s="8" t="s">
        <v>5</v>
      </c>
      <c r="G222" s="15" t="s">
        <v>36</v>
      </c>
    </row>
    <row r="223" spans="1:7" x14ac:dyDescent="0.2">
      <c r="A223" s="10">
        <v>44792</v>
      </c>
      <c r="B223" s="14" t="str" cm="1">
        <f t="array" ref="B223">_xlfn.IFS(G223="Electronics","P001", G223="MRO","P002", G223="Office Supplies","P003", G223="Packaging","P004", G223="Raw Materials","P005")</f>
        <v>P003</v>
      </c>
      <c r="C223" s="11">
        <v>695</v>
      </c>
      <c r="D223" s="11">
        <v>69.760000000000005</v>
      </c>
      <c r="E223" s="9">
        <v>0.96899999999999997</v>
      </c>
      <c r="F223" s="11" t="s">
        <v>6</v>
      </c>
      <c r="G223" s="16" t="s">
        <v>35</v>
      </c>
    </row>
    <row r="224" spans="1:7" x14ac:dyDescent="0.2">
      <c r="A224" s="7">
        <v>44627</v>
      </c>
      <c r="B224" s="13" t="str" cm="1">
        <f t="array" ref="B224">_xlfn.IFS(G224="Electronics","P001", G224="MRO","P002", G224="Office Supplies","P003", G224="Packaging","P004", G224="Raw Materials","P005")</f>
        <v>P002</v>
      </c>
      <c r="C224" s="8">
        <v>845</v>
      </c>
      <c r="D224" s="8">
        <v>86.97</v>
      </c>
      <c r="E224" s="9">
        <v>1.115</v>
      </c>
      <c r="F224" s="8" t="s">
        <v>5</v>
      </c>
      <c r="G224" s="15" t="s">
        <v>36</v>
      </c>
    </row>
    <row r="225" spans="1:7" x14ac:dyDescent="0.2">
      <c r="A225" s="10">
        <v>44908</v>
      </c>
      <c r="B225" s="14" t="str" cm="1">
        <f t="array" ref="B225">_xlfn.IFS(G225="Electronics","P001", G225="MRO","P002", G225="Office Supplies","P003", G225="Packaging","P004", G225="Raw Materials","P005")</f>
        <v>P002</v>
      </c>
      <c r="C225" s="11">
        <v>1101</v>
      </c>
      <c r="D225" s="11">
        <v>52.51</v>
      </c>
      <c r="E225" s="9">
        <v>1.032</v>
      </c>
      <c r="F225" s="11" t="s">
        <v>5</v>
      </c>
      <c r="G225" s="16" t="s">
        <v>36</v>
      </c>
    </row>
    <row r="226" spans="1:7" x14ac:dyDescent="0.2">
      <c r="A226" s="7">
        <v>44583</v>
      </c>
      <c r="B226" s="13" t="str" cm="1">
        <f t="array" ref="B226">_xlfn.IFS(G226="Electronics","P001", G226="MRO","P002", G226="Office Supplies","P003", G226="Packaging","P004", G226="Raw Materials","P005")</f>
        <v>P005</v>
      </c>
      <c r="C226" s="8">
        <v>1693</v>
      </c>
      <c r="D226" s="8">
        <v>49.84</v>
      </c>
      <c r="E226" s="9">
        <v>0.999</v>
      </c>
      <c r="F226" s="8" t="s">
        <v>5</v>
      </c>
      <c r="G226" s="15" t="s">
        <v>38</v>
      </c>
    </row>
    <row r="227" spans="1:7" x14ac:dyDescent="0.2">
      <c r="A227" s="10">
        <v>45164</v>
      </c>
      <c r="B227" s="13" t="str" cm="1">
        <f t="array" ref="B227">_xlfn.IFS(G227="Electronics","P001", G227="MRO","P002", G227="Office Supplies","P003", G227="Packaging","P004", G227="Raw Materials","P005")</f>
        <v>P003</v>
      </c>
      <c r="C227" s="11">
        <v>1629</v>
      </c>
      <c r="D227" s="11">
        <v>19.41</v>
      </c>
      <c r="E227" s="9">
        <v>0.96899999999999997</v>
      </c>
      <c r="F227" s="11" t="s">
        <v>6</v>
      </c>
      <c r="G227" s="16" t="s">
        <v>35</v>
      </c>
    </row>
    <row r="228" spans="1:7" x14ac:dyDescent="0.2">
      <c r="A228" s="7">
        <v>45129</v>
      </c>
      <c r="B228" s="14" t="str" cm="1">
        <f t="array" ref="B228">_xlfn.IFS(G228="Electronics","P001", G228="MRO","P002", G228="Office Supplies","P003", G228="Packaging","P004", G228="Raw Materials","P005")</f>
        <v>P005</v>
      </c>
      <c r="C228" s="8">
        <v>1413</v>
      </c>
      <c r="D228" s="8">
        <v>50.42</v>
      </c>
      <c r="E228" s="9">
        <v>0.99199999999999999</v>
      </c>
      <c r="F228" s="8" t="s">
        <v>5</v>
      </c>
      <c r="G228" s="15" t="s">
        <v>38</v>
      </c>
    </row>
    <row r="229" spans="1:7" x14ac:dyDescent="0.2">
      <c r="A229" s="10">
        <v>44797</v>
      </c>
      <c r="B229" s="13" t="str" cm="1">
        <f t="array" ref="B229">_xlfn.IFS(G229="Electronics","P001", G229="MRO","P002", G229="Office Supplies","P003", G229="Packaging","P004", G229="Raw Materials","P005")</f>
        <v>P004</v>
      </c>
      <c r="C229" s="11">
        <v>1871</v>
      </c>
      <c r="D229" s="11">
        <v>58.54</v>
      </c>
      <c r="E229" s="9">
        <v>0.96899999999999997</v>
      </c>
      <c r="F229" s="11" t="s">
        <v>5</v>
      </c>
      <c r="G229" s="16" t="s">
        <v>37</v>
      </c>
    </row>
    <row r="230" spans="1:7" x14ac:dyDescent="0.2">
      <c r="A230" s="7">
        <v>45164</v>
      </c>
      <c r="B230" s="14" t="str" cm="1">
        <f t="array" ref="B230">_xlfn.IFS(G230="Electronics","P001", G230="MRO","P002", G230="Office Supplies","P003", G230="Packaging","P004", G230="Raw Materials","P005")</f>
        <v>P005</v>
      </c>
      <c r="C230" s="8">
        <v>1404</v>
      </c>
      <c r="D230" s="8">
        <v>30.5</v>
      </c>
      <c r="E230" s="9">
        <v>0.96899999999999997</v>
      </c>
      <c r="F230" s="8" t="s">
        <v>5</v>
      </c>
      <c r="G230" s="15" t="s">
        <v>38</v>
      </c>
    </row>
    <row r="231" spans="1:7" x14ac:dyDescent="0.2">
      <c r="A231" s="10">
        <v>44787</v>
      </c>
      <c r="B231" s="13" t="str" cm="1">
        <f t="array" ref="B231">_xlfn.IFS(G231="Electronics","P001", G231="MRO","P002", G231="Office Supplies","P003", G231="Packaging","P004", G231="Raw Materials","P005")</f>
        <v>P001</v>
      </c>
      <c r="C231" s="11">
        <v>1713</v>
      </c>
      <c r="D231" s="11">
        <v>34.11</v>
      </c>
      <c r="E231" s="9">
        <v>0.96899999999999997</v>
      </c>
      <c r="F231" s="11" t="s">
        <v>5</v>
      </c>
      <c r="G231" s="16" t="s">
        <v>39</v>
      </c>
    </row>
    <row r="232" spans="1:7" x14ac:dyDescent="0.2">
      <c r="A232" s="7">
        <v>44569</v>
      </c>
      <c r="B232" s="13" t="str" cm="1">
        <f t="array" ref="B232">_xlfn.IFS(G232="Electronics","P001", G232="MRO","P002", G232="Office Supplies","P003", G232="Packaging","P004", G232="Raw Materials","P005")</f>
        <v>P001</v>
      </c>
      <c r="C232" s="8">
        <v>1579</v>
      </c>
      <c r="D232" s="8">
        <v>43.41</v>
      </c>
      <c r="E232" s="9">
        <v>0.999</v>
      </c>
      <c r="F232" s="8" t="s">
        <v>5</v>
      </c>
      <c r="G232" s="15" t="s">
        <v>39</v>
      </c>
    </row>
    <row r="233" spans="1:7" x14ac:dyDescent="0.2">
      <c r="A233" s="10">
        <v>44634</v>
      </c>
      <c r="B233" s="14" t="str" cm="1">
        <f t="array" ref="B233">_xlfn.IFS(G233="Electronics","P001", G233="MRO","P002", G233="Office Supplies","P003", G233="Packaging","P004", G233="Raw Materials","P005")</f>
        <v>P001</v>
      </c>
      <c r="C233" s="11">
        <v>1421</v>
      </c>
      <c r="D233" s="11">
        <v>11.72</v>
      </c>
      <c r="E233" s="9">
        <v>1.115</v>
      </c>
      <c r="F233" s="11" t="s">
        <v>5</v>
      </c>
      <c r="G233" s="16" t="s">
        <v>39</v>
      </c>
    </row>
    <row r="234" spans="1:7" x14ac:dyDescent="0.2">
      <c r="A234" s="7">
        <v>45286</v>
      </c>
      <c r="B234" s="13" t="str" cm="1">
        <f t="array" ref="B234">_xlfn.IFS(G234="Electronics","P001", G234="MRO","P002", G234="Office Supplies","P003", G234="Packaging","P004", G234="Raw Materials","P005")</f>
        <v>P002</v>
      </c>
      <c r="C234" s="8">
        <v>1546</v>
      </c>
      <c r="D234" s="8">
        <v>37.369999999999997</v>
      </c>
      <c r="E234" s="9">
        <v>1.032</v>
      </c>
      <c r="F234" s="8" t="s">
        <v>5</v>
      </c>
      <c r="G234" s="15" t="s">
        <v>36</v>
      </c>
    </row>
    <row r="235" spans="1:7" x14ac:dyDescent="0.2">
      <c r="A235" s="10">
        <v>45208</v>
      </c>
      <c r="B235" s="14" t="str" cm="1">
        <f t="array" ref="B235">_xlfn.IFS(G235="Electronics","P001", G235="MRO","P002", G235="Office Supplies","P003", G235="Packaging","P004", G235="Raw Materials","P005")</f>
        <v>P001</v>
      </c>
      <c r="C235" s="11">
        <v>1304</v>
      </c>
      <c r="D235" s="11">
        <v>29.36</v>
      </c>
      <c r="E235" s="9">
        <v>0.94299999999999995</v>
      </c>
      <c r="F235" s="11" t="s">
        <v>5</v>
      </c>
      <c r="G235" s="16" t="s">
        <v>39</v>
      </c>
    </row>
    <row r="236" spans="1:7" x14ac:dyDescent="0.2">
      <c r="A236" s="7">
        <v>44622</v>
      </c>
      <c r="B236" s="13" t="str" cm="1">
        <f t="array" ref="B236">_xlfn.IFS(G236="Electronics","P001", G236="MRO","P002", G236="Office Supplies","P003", G236="Packaging","P004", G236="Raw Materials","P005")</f>
        <v>P005</v>
      </c>
      <c r="C236" s="8">
        <v>239</v>
      </c>
      <c r="D236" s="8">
        <v>35.47</v>
      </c>
      <c r="E236" s="9">
        <v>1.115</v>
      </c>
      <c r="F236" s="8" t="s">
        <v>5</v>
      </c>
      <c r="G236" s="15" t="s">
        <v>38</v>
      </c>
    </row>
    <row r="237" spans="1:7" x14ac:dyDescent="0.2">
      <c r="A237" s="10">
        <v>44796</v>
      </c>
      <c r="B237" s="13" t="str" cm="1">
        <f t="array" ref="B237">_xlfn.IFS(G237="Electronics","P001", G237="MRO","P002", G237="Office Supplies","P003", G237="Packaging","P004", G237="Raw Materials","P005")</f>
        <v>P003</v>
      </c>
      <c r="C237" s="11">
        <v>1298</v>
      </c>
      <c r="D237" s="11">
        <v>20.83</v>
      </c>
      <c r="E237" s="9">
        <v>0.96899999999999997</v>
      </c>
      <c r="F237" s="11" t="s">
        <v>5</v>
      </c>
      <c r="G237" s="16" t="s">
        <v>35</v>
      </c>
    </row>
    <row r="238" spans="1:7" x14ac:dyDescent="0.2">
      <c r="A238" s="7">
        <v>44631</v>
      </c>
      <c r="B238" s="14" t="str" cm="1">
        <f t="array" ref="B238">_xlfn.IFS(G238="Electronics","P001", G238="MRO","P002", G238="Office Supplies","P003", G238="Packaging","P004", G238="Raw Materials","P005")</f>
        <v>P002</v>
      </c>
      <c r="C238" s="8">
        <v>1458</v>
      </c>
      <c r="D238" s="8">
        <v>81.56</v>
      </c>
      <c r="E238" s="9">
        <v>1.115</v>
      </c>
      <c r="F238" s="8" t="s">
        <v>5</v>
      </c>
      <c r="G238" s="15" t="s">
        <v>36</v>
      </c>
    </row>
    <row r="239" spans="1:7" x14ac:dyDescent="0.2">
      <c r="A239" s="10">
        <v>44594</v>
      </c>
      <c r="B239" s="13" t="str" cm="1">
        <f t="array" ref="B239">_xlfn.IFS(G239="Electronics","P001", G239="MRO","P002", G239="Office Supplies","P003", G239="Packaging","P004", G239="Raw Materials","P005")</f>
        <v>P002</v>
      </c>
      <c r="C239" s="11">
        <v>1450</v>
      </c>
      <c r="D239" s="11">
        <v>59.11</v>
      </c>
      <c r="E239" s="9">
        <v>1.0920000000000001</v>
      </c>
      <c r="F239" s="11" t="s">
        <v>5</v>
      </c>
      <c r="G239" s="16" t="s">
        <v>36</v>
      </c>
    </row>
    <row r="240" spans="1:7" x14ac:dyDescent="0.2">
      <c r="A240" s="7">
        <v>44900</v>
      </c>
      <c r="B240" s="14" t="str" cm="1">
        <f t="array" ref="B240">_xlfn.IFS(G240="Electronics","P001", G240="MRO","P002", G240="Office Supplies","P003", G240="Packaging","P004", G240="Raw Materials","P005")</f>
        <v>P001</v>
      </c>
      <c r="C240" s="8">
        <v>1356</v>
      </c>
      <c r="D240" s="8">
        <v>63.86</v>
      </c>
      <c r="E240" s="9">
        <v>1.032</v>
      </c>
      <c r="F240" s="8" t="s">
        <v>5</v>
      </c>
      <c r="G240" s="15" t="s">
        <v>39</v>
      </c>
    </row>
    <row r="241" spans="1:7" x14ac:dyDescent="0.2">
      <c r="A241" s="10">
        <v>44634</v>
      </c>
      <c r="B241" s="13" t="str" cm="1">
        <f t="array" ref="B241">_xlfn.IFS(G241="Electronics","P001", G241="MRO","P002", G241="Office Supplies","P003", G241="Packaging","P004", G241="Raw Materials","P005")</f>
        <v>P004</v>
      </c>
      <c r="C241" s="11">
        <v>682</v>
      </c>
      <c r="D241" s="11">
        <v>71.86</v>
      </c>
      <c r="E241" s="9">
        <v>1.115</v>
      </c>
      <c r="F241" s="11" t="s">
        <v>5</v>
      </c>
      <c r="G241" s="16" t="s">
        <v>37</v>
      </c>
    </row>
    <row r="242" spans="1:7" x14ac:dyDescent="0.2">
      <c r="A242" s="7">
        <v>45088</v>
      </c>
      <c r="B242" s="13" t="str" cm="1">
        <f t="array" ref="B242">_xlfn.IFS(G242="Electronics","P001", G242="MRO","P002", G242="Office Supplies","P003", G242="Packaging","P004", G242="Raw Materials","P005")</f>
        <v>P004</v>
      </c>
      <c r="C242" s="8">
        <v>677</v>
      </c>
      <c r="D242" s="8">
        <v>55.29</v>
      </c>
      <c r="E242" s="9">
        <v>0.89100000000000001</v>
      </c>
      <c r="F242" s="8" t="s">
        <v>5</v>
      </c>
      <c r="G242" s="15" t="s">
        <v>37</v>
      </c>
    </row>
    <row r="243" spans="1:7" x14ac:dyDescent="0.2">
      <c r="A243" s="10">
        <v>44805</v>
      </c>
      <c r="B243" s="14" t="str" cm="1">
        <f t="array" ref="B243">_xlfn.IFS(G243="Electronics","P001", G243="MRO","P002", G243="Office Supplies","P003", G243="Packaging","P004", G243="Raw Materials","P005")</f>
        <v>P003</v>
      </c>
      <c r="C243" s="11">
        <v>1022</v>
      </c>
      <c r="D243" s="11">
        <v>16.55</v>
      </c>
      <c r="E243" s="9">
        <v>0.98099999999999998</v>
      </c>
      <c r="F243" s="11" t="s">
        <v>5</v>
      </c>
      <c r="G243" s="16" t="s">
        <v>35</v>
      </c>
    </row>
    <row r="244" spans="1:7" x14ac:dyDescent="0.2">
      <c r="A244" s="7">
        <v>44847</v>
      </c>
      <c r="B244" s="13" t="str" cm="1">
        <f t="array" ref="B244">_xlfn.IFS(G244="Electronics","P001", G244="MRO","P002", G244="Office Supplies","P003", G244="Packaging","P004", G244="Raw Materials","P005")</f>
        <v>P005</v>
      </c>
      <c r="C244" s="8">
        <v>1818</v>
      </c>
      <c r="D244" s="8">
        <v>57.13</v>
      </c>
      <c r="E244" s="9">
        <v>0.94299999999999995</v>
      </c>
      <c r="F244" s="8" t="s">
        <v>5</v>
      </c>
      <c r="G244" s="15" t="s">
        <v>38</v>
      </c>
    </row>
    <row r="245" spans="1:7" x14ac:dyDescent="0.2">
      <c r="A245" s="10">
        <v>45247</v>
      </c>
      <c r="B245" s="14" t="str" cm="1">
        <f t="array" ref="B245">_xlfn.IFS(G245="Electronics","P001", G245="MRO","P002", G245="Office Supplies","P003", G245="Packaging","P004", G245="Raw Materials","P005")</f>
        <v>P001</v>
      </c>
      <c r="C245" s="11">
        <v>1332</v>
      </c>
      <c r="D245" s="11">
        <v>63.8</v>
      </c>
      <c r="E245" s="9">
        <v>0.95299999999999996</v>
      </c>
      <c r="F245" s="11" t="s">
        <v>5</v>
      </c>
      <c r="G245" s="16" t="s">
        <v>39</v>
      </c>
    </row>
    <row r="246" spans="1:7" x14ac:dyDescent="0.2">
      <c r="A246" s="7">
        <v>45059</v>
      </c>
      <c r="B246" s="13" t="str" cm="1">
        <f t="array" ref="B246">_xlfn.IFS(G246="Electronics","P001", G246="MRO","P002", G246="Office Supplies","P003", G246="Packaging","P004", G246="Raw Materials","P005")</f>
        <v>P005</v>
      </c>
      <c r="C246" s="8">
        <v>1432</v>
      </c>
      <c r="D246" s="8">
        <v>77.67</v>
      </c>
      <c r="E246" s="9">
        <v>0.98799999999999999</v>
      </c>
      <c r="F246" s="8" t="s">
        <v>5</v>
      </c>
      <c r="G246" s="15" t="s">
        <v>38</v>
      </c>
    </row>
    <row r="247" spans="1:7" x14ac:dyDescent="0.2">
      <c r="A247" s="10">
        <v>44781</v>
      </c>
      <c r="B247" s="13" t="str" cm="1">
        <f t="array" ref="B247">_xlfn.IFS(G247="Electronics","P001", G247="MRO","P002", G247="Office Supplies","P003", G247="Packaging","P004", G247="Raw Materials","P005")</f>
        <v>P004</v>
      </c>
      <c r="C247" s="11">
        <v>759</v>
      </c>
      <c r="D247" s="11">
        <v>46.47</v>
      </c>
      <c r="E247" s="9">
        <v>0.96899999999999997</v>
      </c>
      <c r="F247" s="11" t="s">
        <v>6</v>
      </c>
      <c r="G247" s="16" t="s">
        <v>37</v>
      </c>
    </row>
    <row r="248" spans="1:7" x14ac:dyDescent="0.2">
      <c r="A248" s="7">
        <v>45114</v>
      </c>
      <c r="B248" s="14" t="str" cm="1">
        <f t="array" ref="B248">_xlfn.IFS(G248="Electronics","P001", G248="MRO","P002", G248="Office Supplies","P003", G248="Packaging","P004", G248="Raw Materials","P005")</f>
        <v>P004</v>
      </c>
      <c r="C248" s="8">
        <v>1529</v>
      </c>
      <c r="D248" s="8">
        <v>22.44</v>
      </c>
      <c r="E248" s="9">
        <v>0.99199999999999999</v>
      </c>
      <c r="F248" s="8" t="s">
        <v>5</v>
      </c>
      <c r="G248" s="15" t="s">
        <v>37</v>
      </c>
    </row>
    <row r="249" spans="1:7" x14ac:dyDescent="0.2">
      <c r="A249" s="10">
        <v>44697</v>
      </c>
      <c r="B249" s="13" t="str" cm="1">
        <f t="array" ref="B249">_xlfn.IFS(G249="Electronics","P001", G249="MRO","P002", G249="Office Supplies","P003", G249="Packaging","P004", G249="Raw Materials","P005")</f>
        <v>P001</v>
      </c>
      <c r="C249" s="11">
        <v>1484</v>
      </c>
      <c r="D249" s="11">
        <v>31.8</v>
      </c>
      <c r="E249" s="9">
        <v>0.98799999999999999</v>
      </c>
      <c r="F249" s="11" t="s">
        <v>5</v>
      </c>
      <c r="G249" s="16" t="s">
        <v>39</v>
      </c>
    </row>
    <row r="250" spans="1:7" x14ac:dyDescent="0.2">
      <c r="A250" s="7">
        <v>45146</v>
      </c>
      <c r="B250" s="14" t="str" cm="1">
        <f t="array" ref="B250">_xlfn.IFS(G250="Electronics","P001", G250="MRO","P002", G250="Office Supplies","P003", G250="Packaging","P004", G250="Raw Materials","P005")</f>
        <v>P004</v>
      </c>
      <c r="C250" s="8">
        <v>698</v>
      </c>
      <c r="D250" s="8">
        <v>45.61</v>
      </c>
      <c r="E250" s="9">
        <v>0.96899999999999997</v>
      </c>
      <c r="F250" s="8" t="s">
        <v>5</v>
      </c>
      <c r="G250" s="15" t="s">
        <v>37</v>
      </c>
    </row>
    <row r="251" spans="1:7" x14ac:dyDescent="0.2">
      <c r="A251" s="10">
        <v>45152</v>
      </c>
      <c r="B251" s="13" t="str" cm="1">
        <f t="array" ref="B251">_xlfn.IFS(G251="Electronics","P001", G251="MRO","P002", G251="Office Supplies","P003", G251="Packaging","P004", G251="Raw Materials","P005")</f>
        <v>P004</v>
      </c>
      <c r="C251" s="11">
        <v>367</v>
      </c>
      <c r="D251" s="11">
        <v>71.36</v>
      </c>
      <c r="E251" s="9">
        <v>0.96899999999999997</v>
      </c>
      <c r="F251" s="11" t="s">
        <v>5</v>
      </c>
      <c r="G251" s="16" t="s">
        <v>37</v>
      </c>
    </row>
    <row r="252" spans="1:7" x14ac:dyDescent="0.2">
      <c r="A252" s="7">
        <v>45046</v>
      </c>
      <c r="B252" s="13" t="str" cm="1">
        <f t="array" ref="B252">_xlfn.IFS(G252="Electronics","P001", G252="MRO","P002", G252="Office Supplies","P003", G252="Packaging","P004", G252="Raw Materials","P005")</f>
        <v>P003</v>
      </c>
      <c r="C252" s="8">
        <v>1750</v>
      </c>
      <c r="D252" s="8">
        <v>58.34</v>
      </c>
      <c r="E252" s="9">
        <v>1.032</v>
      </c>
      <c r="F252" s="8" t="s">
        <v>5</v>
      </c>
      <c r="G252" s="15" t="s">
        <v>35</v>
      </c>
    </row>
    <row r="253" spans="1:7" x14ac:dyDescent="0.2">
      <c r="A253" s="10">
        <v>44810</v>
      </c>
      <c r="B253" s="14" t="str" cm="1">
        <f t="array" ref="B253">_xlfn.IFS(G253="Electronics","P001", G253="MRO","P002", G253="Office Supplies","P003", G253="Packaging","P004", G253="Raw Materials","P005")</f>
        <v>P003</v>
      </c>
      <c r="C253" s="11">
        <v>1298</v>
      </c>
      <c r="D253" s="11">
        <v>37.21</v>
      </c>
      <c r="E253" s="9">
        <v>0.98099999999999998</v>
      </c>
      <c r="F253" s="11" t="s">
        <v>6</v>
      </c>
      <c r="G253" s="16" t="s">
        <v>35</v>
      </c>
    </row>
    <row r="254" spans="1:7" x14ac:dyDescent="0.2">
      <c r="A254" s="7">
        <v>45046</v>
      </c>
      <c r="B254" s="13" t="str" cm="1">
        <f t="array" ref="B254">_xlfn.IFS(G254="Electronics","P001", G254="MRO","P002", G254="Office Supplies","P003", G254="Packaging","P004", G254="Raw Materials","P005")</f>
        <v>P004</v>
      </c>
      <c r="C254" s="8">
        <v>1892</v>
      </c>
      <c r="D254" s="8">
        <v>96.37</v>
      </c>
      <c r="E254" s="9">
        <v>1.032</v>
      </c>
      <c r="F254" s="8" t="s">
        <v>5</v>
      </c>
      <c r="G254" s="15" t="s">
        <v>37</v>
      </c>
    </row>
    <row r="255" spans="1:7" x14ac:dyDescent="0.2">
      <c r="A255" s="10">
        <v>44978</v>
      </c>
      <c r="B255" s="14" t="str" cm="1">
        <f t="array" ref="B255">_xlfn.IFS(G255="Electronics","P001", G255="MRO","P002", G255="Office Supplies","P003", G255="Packaging","P004", G255="Raw Materials","P005")</f>
        <v>P001</v>
      </c>
      <c r="C255" s="11">
        <v>1307</v>
      </c>
      <c r="D255" s="11">
        <v>60.64</v>
      </c>
      <c r="E255" s="9">
        <v>1.0920000000000001</v>
      </c>
      <c r="F255" s="11" t="s">
        <v>5</v>
      </c>
      <c r="G255" s="16" t="s">
        <v>39</v>
      </c>
    </row>
    <row r="256" spans="1:7" x14ac:dyDescent="0.2">
      <c r="A256" s="7">
        <v>44756</v>
      </c>
      <c r="B256" s="13" t="str" cm="1">
        <f t="array" ref="B256">_xlfn.IFS(G256="Electronics","P001", G256="MRO","P002", G256="Office Supplies","P003", G256="Packaging","P004", G256="Raw Materials","P005")</f>
        <v>P001</v>
      </c>
      <c r="C256" s="8">
        <v>733</v>
      </c>
      <c r="D256" s="8">
        <v>29.01</v>
      </c>
      <c r="E256" s="9">
        <v>0.99199999999999999</v>
      </c>
      <c r="F256" s="8" t="s">
        <v>5</v>
      </c>
      <c r="G256" s="15" t="s">
        <v>39</v>
      </c>
    </row>
    <row r="257" spans="1:7" x14ac:dyDescent="0.2">
      <c r="A257" s="10">
        <v>44658</v>
      </c>
      <c r="B257" s="13" t="str" cm="1">
        <f t="array" ref="B257">_xlfn.IFS(G257="Electronics","P001", G257="MRO","P002", G257="Office Supplies","P003", G257="Packaging","P004", G257="Raw Materials","P005")</f>
        <v>P004</v>
      </c>
      <c r="C257" s="11">
        <v>713</v>
      </c>
      <c r="D257" s="11">
        <v>18.82</v>
      </c>
      <c r="E257" s="9">
        <v>1.032</v>
      </c>
      <c r="F257" s="11" t="s">
        <v>5</v>
      </c>
      <c r="G257" s="16" t="s">
        <v>37</v>
      </c>
    </row>
    <row r="258" spans="1:7" x14ac:dyDescent="0.2">
      <c r="A258" s="7">
        <v>44661</v>
      </c>
      <c r="B258" s="14" t="str" cm="1">
        <f t="array" ref="B258">_xlfn.IFS(G258="Electronics","P001", G258="MRO","P002", G258="Office Supplies","P003", G258="Packaging","P004", G258="Raw Materials","P005")</f>
        <v>P004</v>
      </c>
      <c r="C258" s="8">
        <v>1900</v>
      </c>
      <c r="D258" s="8">
        <v>23.45</v>
      </c>
      <c r="E258" s="9">
        <v>1.032</v>
      </c>
      <c r="F258" s="8" t="s">
        <v>5</v>
      </c>
      <c r="G258" s="15" t="s">
        <v>37</v>
      </c>
    </row>
    <row r="259" spans="1:7" x14ac:dyDescent="0.2">
      <c r="A259" s="10">
        <v>45236</v>
      </c>
      <c r="B259" s="13" t="str" cm="1">
        <f t="array" ref="B259">_xlfn.IFS(G259="Electronics","P001", G259="MRO","P002", G259="Office Supplies","P003", G259="Packaging","P004", G259="Raw Materials","P005")</f>
        <v>P002</v>
      </c>
      <c r="C259" s="11">
        <v>1447</v>
      </c>
      <c r="D259" s="11">
        <v>35.07</v>
      </c>
      <c r="E259" s="9">
        <v>0.95299999999999996</v>
      </c>
      <c r="F259" s="11" t="s">
        <v>6</v>
      </c>
      <c r="G259" s="16" t="s">
        <v>36</v>
      </c>
    </row>
    <row r="260" spans="1:7" x14ac:dyDescent="0.2">
      <c r="A260" s="7">
        <v>45003</v>
      </c>
      <c r="B260" s="14" t="str" cm="1">
        <f t="array" ref="B260">_xlfn.IFS(G260="Electronics","P001", G260="MRO","P002", G260="Office Supplies","P003", G260="Packaging","P004", G260="Raw Materials","P005")</f>
        <v>P003</v>
      </c>
      <c r="C260" s="8">
        <v>1745</v>
      </c>
      <c r="D260" s="8">
        <v>22.25</v>
      </c>
      <c r="E260" s="9">
        <v>1.115</v>
      </c>
      <c r="F260" s="8" t="s">
        <v>5</v>
      </c>
      <c r="G260" s="15" t="s">
        <v>35</v>
      </c>
    </row>
    <row r="261" spans="1:7" x14ac:dyDescent="0.2">
      <c r="A261" s="10">
        <v>44924</v>
      </c>
      <c r="B261" s="13" t="str" cm="1">
        <f t="array" ref="B261">_xlfn.IFS(G261="Electronics","P001", G261="MRO","P002", G261="Office Supplies","P003", G261="Packaging","P004", G261="Raw Materials","P005")</f>
        <v>P003</v>
      </c>
      <c r="C261" s="11">
        <v>1681</v>
      </c>
      <c r="D261" s="11">
        <v>26.62</v>
      </c>
      <c r="E261" s="9">
        <v>1.032</v>
      </c>
      <c r="F261" s="11" t="s">
        <v>5</v>
      </c>
      <c r="G261" s="16" t="s">
        <v>35</v>
      </c>
    </row>
    <row r="262" spans="1:7" x14ac:dyDescent="0.2">
      <c r="A262" s="7">
        <v>44995</v>
      </c>
      <c r="B262" s="13" t="str" cm="1">
        <f t="array" ref="B262">_xlfn.IFS(G262="Electronics","P001", G262="MRO","P002", G262="Office Supplies","P003", G262="Packaging","P004", G262="Raw Materials","P005")</f>
        <v>P001</v>
      </c>
      <c r="C262" s="8">
        <v>1545</v>
      </c>
      <c r="D262" s="8">
        <v>36.96</v>
      </c>
      <c r="E262" s="9">
        <v>1.115</v>
      </c>
      <c r="F262" s="8" t="s">
        <v>5</v>
      </c>
      <c r="G262" s="15" t="s">
        <v>39</v>
      </c>
    </row>
    <row r="263" spans="1:7" x14ac:dyDescent="0.2">
      <c r="A263" s="10">
        <v>44982</v>
      </c>
      <c r="B263" s="14" t="str" cm="1">
        <f t="array" ref="B263">_xlfn.IFS(G263="Electronics","P001", G263="MRO","P002", G263="Office Supplies","P003", G263="Packaging","P004", G263="Raw Materials","P005")</f>
        <v>P005</v>
      </c>
      <c r="C263" s="11">
        <v>1306</v>
      </c>
      <c r="D263" s="11">
        <v>25.96</v>
      </c>
      <c r="E263" s="9">
        <v>1.0920000000000001</v>
      </c>
      <c r="F263" s="11" t="s">
        <v>5</v>
      </c>
      <c r="G263" s="16" t="s">
        <v>38</v>
      </c>
    </row>
    <row r="264" spans="1:7" x14ac:dyDescent="0.2">
      <c r="A264" s="7">
        <v>45040</v>
      </c>
      <c r="B264" s="13" t="str" cm="1">
        <f t="array" ref="B264">_xlfn.IFS(G264="Electronics","P001", G264="MRO","P002", G264="Office Supplies","P003", G264="Packaging","P004", G264="Raw Materials","P005")</f>
        <v>P005</v>
      </c>
      <c r="C264" s="8">
        <v>1765</v>
      </c>
      <c r="D264" s="8">
        <v>84.3</v>
      </c>
      <c r="E264" s="9">
        <v>1.032</v>
      </c>
      <c r="F264" s="8" t="s">
        <v>5</v>
      </c>
      <c r="G264" s="15" t="s">
        <v>38</v>
      </c>
    </row>
    <row r="265" spans="1:7" x14ac:dyDescent="0.2">
      <c r="A265" s="10">
        <v>44617</v>
      </c>
      <c r="B265" s="14" t="str" cm="1">
        <f t="array" ref="B265">_xlfn.IFS(G265="Electronics","P001", G265="MRO","P002", G265="Office Supplies","P003", G265="Packaging","P004", G265="Raw Materials","P005")</f>
        <v>P004</v>
      </c>
      <c r="C265" s="11">
        <v>1186</v>
      </c>
      <c r="D265" s="11">
        <v>16</v>
      </c>
      <c r="E265" s="9">
        <v>1.0920000000000001</v>
      </c>
      <c r="F265" s="11" t="s">
        <v>5</v>
      </c>
      <c r="G265" s="16" t="s">
        <v>37</v>
      </c>
    </row>
    <row r="266" spans="1:7" x14ac:dyDescent="0.2">
      <c r="A266" s="7">
        <v>45251</v>
      </c>
      <c r="B266" s="13" t="str" cm="1">
        <f t="array" ref="B266">_xlfn.IFS(G266="Electronics","P001", G266="MRO","P002", G266="Office Supplies","P003", G266="Packaging","P004", G266="Raw Materials","P005")</f>
        <v>P004</v>
      </c>
      <c r="C266" s="8">
        <v>1903</v>
      </c>
      <c r="D266" s="8">
        <v>56.09</v>
      </c>
      <c r="E266" s="9">
        <v>0.95299999999999996</v>
      </c>
      <c r="F266" s="8" t="s">
        <v>5</v>
      </c>
      <c r="G266" s="15" t="s">
        <v>37</v>
      </c>
    </row>
    <row r="267" spans="1:7" x14ac:dyDescent="0.2">
      <c r="A267" s="10">
        <v>45231</v>
      </c>
      <c r="B267" s="13" t="str" cm="1">
        <f t="array" ref="B267">_xlfn.IFS(G267="Electronics","P001", G267="MRO","P002", G267="Office Supplies","P003", G267="Packaging","P004", G267="Raw Materials","P005")</f>
        <v>P002</v>
      </c>
      <c r="C267" s="11">
        <v>1570</v>
      </c>
      <c r="D267" s="11">
        <v>47.87</v>
      </c>
      <c r="E267" s="9">
        <v>0.95299999999999996</v>
      </c>
      <c r="F267" s="11" t="s">
        <v>6</v>
      </c>
      <c r="G267" s="16" t="s">
        <v>36</v>
      </c>
    </row>
    <row r="268" spans="1:7" x14ac:dyDescent="0.2">
      <c r="A268" s="7">
        <v>45223</v>
      </c>
      <c r="B268" s="14" t="str" cm="1">
        <f t="array" ref="B268">_xlfn.IFS(G268="Electronics","P001", G268="MRO","P002", G268="Office Supplies","P003", G268="Packaging","P004", G268="Raw Materials","P005")</f>
        <v>P002</v>
      </c>
      <c r="C268" s="8">
        <v>491</v>
      </c>
      <c r="D268" s="8">
        <v>93.35</v>
      </c>
      <c r="E268" s="9">
        <v>0.94299999999999995</v>
      </c>
      <c r="F268" s="8" t="s">
        <v>6</v>
      </c>
      <c r="G268" s="15" t="s">
        <v>36</v>
      </c>
    </row>
    <row r="269" spans="1:7" x14ac:dyDescent="0.2">
      <c r="A269" s="10">
        <v>44662</v>
      </c>
      <c r="B269" s="13" t="str" cm="1">
        <f t="array" ref="B269">_xlfn.IFS(G269="Electronics","P001", G269="MRO","P002", G269="Office Supplies","P003", G269="Packaging","P004", G269="Raw Materials","P005")</f>
        <v>P001</v>
      </c>
      <c r="C269" s="11">
        <v>613</v>
      </c>
      <c r="D269" s="11">
        <v>20.170000000000002</v>
      </c>
      <c r="E269" s="9">
        <v>1.032</v>
      </c>
      <c r="F269" s="11" t="s">
        <v>5</v>
      </c>
      <c r="G269" s="16" t="s">
        <v>39</v>
      </c>
    </row>
    <row r="270" spans="1:7" x14ac:dyDescent="0.2">
      <c r="A270" s="7">
        <v>44624</v>
      </c>
      <c r="B270" s="14" t="str" cm="1">
        <f t="array" ref="B270">_xlfn.IFS(G270="Electronics","P001", G270="MRO","P002", G270="Office Supplies","P003", G270="Packaging","P004", G270="Raw Materials","P005")</f>
        <v>P005</v>
      </c>
      <c r="C270" s="8">
        <v>1341</v>
      </c>
      <c r="D270" s="8">
        <v>43.94</v>
      </c>
      <c r="E270" s="9">
        <v>1.115</v>
      </c>
      <c r="F270" s="8" t="s">
        <v>5</v>
      </c>
      <c r="G270" s="15" t="s">
        <v>38</v>
      </c>
    </row>
    <row r="271" spans="1:7" x14ac:dyDescent="0.2">
      <c r="A271" s="10">
        <v>44974</v>
      </c>
      <c r="B271" s="13" t="str" cm="1">
        <f t="array" ref="B271">_xlfn.IFS(G271="Electronics","P001", G271="MRO","P002", G271="Office Supplies","P003", G271="Packaging","P004", G271="Raw Materials","P005")</f>
        <v>P002</v>
      </c>
      <c r="C271" s="11">
        <v>1583</v>
      </c>
      <c r="D271" s="11">
        <v>89.38</v>
      </c>
      <c r="E271" s="9">
        <v>1.0920000000000001</v>
      </c>
      <c r="F271" s="11" t="s">
        <v>5</v>
      </c>
      <c r="G271" s="16" t="s">
        <v>36</v>
      </c>
    </row>
    <row r="272" spans="1:7" x14ac:dyDescent="0.2">
      <c r="A272" s="7">
        <v>44909</v>
      </c>
      <c r="B272" s="13" t="str" cm="1">
        <f t="array" ref="B272">_xlfn.IFS(G272="Electronics","P001", G272="MRO","P002", G272="Office Supplies","P003", G272="Packaging","P004", G272="Raw Materials","P005")</f>
        <v>P005</v>
      </c>
      <c r="C272" s="8">
        <v>1880</v>
      </c>
      <c r="D272" s="8">
        <v>90.78</v>
      </c>
      <c r="E272" s="9">
        <v>1.032</v>
      </c>
      <c r="F272" s="8" t="s">
        <v>5</v>
      </c>
      <c r="G272" s="15" t="s">
        <v>38</v>
      </c>
    </row>
    <row r="273" spans="1:7" x14ac:dyDescent="0.2">
      <c r="A273" s="10">
        <v>44673</v>
      </c>
      <c r="B273" s="14" t="str" cm="1">
        <f t="array" ref="B273">_xlfn.IFS(G273="Electronics","P001", G273="MRO","P002", G273="Office Supplies","P003", G273="Packaging","P004", G273="Raw Materials","P005")</f>
        <v>P002</v>
      </c>
      <c r="C273" s="11">
        <v>1459</v>
      </c>
      <c r="D273" s="11">
        <v>82.72</v>
      </c>
      <c r="E273" s="9">
        <v>1.032</v>
      </c>
      <c r="F273" s="11" t="s">
        <v>5</v>
      </c>
      <c r="G273" s="16" t="s">
        <v>36</v>
      </c>
    </row>
    <row r="274" spans="1:7" x14ac:dyDescent="0.2">
      <c r="A274" s="7">
        <v>44816</v>
      </c>
      <c r="B274" s="13" t="str" cm="1">
        <f t="array" ref="B274">_xlfn.IFS(G274="Electronics","P001", G274="MRO","P002", G274="Office Supplies","P003", G274="Packaging","P004", G274="Raw Materials","P005")</f>
        <v>P003</v>
      </c>
      <c r="C274" s="8">
        <v>1460</v>
      </c>
      <c r="D274" s="8">
        <v>31.87</v>
      </c>
      <c r="E274" s="9">
        <v>0.98099999999999998</v>
      </c>
      <c r="F274" s="8" t="s">
        <v>6</v>
      </c>
      <c r="G274" s="15" t="s">
        <v>35</v>
      </c>
    </row>
    <row r="275" spans="1:7" x14ac:dyDescent="0.2">
      <c r="A275" s="10">
        <v>44758</v>
      </c>
      <c r="B275" s="14" t="str" cm="1">
        <f t="array" ref="B275">_xlfn.IFS(G275="Electronics","P001", G275="MRO","P002", G275="Office Supplies","P003", G275="Packaging","P004", G275="Raw Materials","P005")</f>
        <v>P004</v>
      </c>
      <c r="C275" s="11">
        <v>1186</v>
      </c>
      <c r="D275" s="11">
        <v>24.78</v>
      </c>
      <c r="E275" s="9">
        <v>0.99199999999999999</v>
      </c>
      <c r="F275" s="11" t="s">
        <v>5</v>
      </c>
      <c r="G275" s="16" t="s">
        <v>37</v>
      </c>
    </row>
    <row r="276" spans="1:7" x14ac:dyDescent="0.2">
      <c r="A276" s="7">
        <v>44756</v>
      </c>
      <c r="B276" s="13" t="str" cm="1">
        <f t="array" ref="B276">_xlfn.IFS(G276="Electronics","P001", G276="MRO","P002", G276="Office Supplies","P003", G276="Packaging","P004", G276="Raw Materials","P005")</f>
        <v>P002</v>
      </c>
      <c r="C276" s="8">
        <v>1686</v>
      </c>
      <c r="D276" s="8">
        <v>65.209999999999994</v>
      </c>
      <c r="E276" s="9">
        <v>0.99199999999999999</v>
      </c>
      <c r="F276" s="8" t="s">
        <v>5</v>
      </c>
      <c r="G276" s="15" t="s">
        <v>36</v>
      </c>
    </row>
    <row r="277" spans="1:7" x14ac:dyDescent="0.2">
      <c r="A277" s="10">
        <v>45111</v>
      </c>
      <c r="B277" s="13" t="str" cm="1">
        <f t="array" ref="B277">_xlfn.IFS(G277="Electronics","P001", G277="MRO","P002", G277="Office Supplies","P003", G277="Packaging","P004", G277="Raw Materials","P005")</f>
        <v>P002</v>
      </c>
      <c r="C277" s="11">
        <v>1698</v>
      </c>
      <c r="D277" s="11">
        <v>100.69</v>
      </c>
      <c r="E277" s="9">
        <v>0.99199999999999999</v>
      </c>
      <c r="F277" s="11" t="s">
        <v>5</v>
      </c>
      <c r="G277" s="16" t="s">
        <v>36</v>
      </c>
    </row>
    <row r="278" spans="1:7" x14ac:dyDescent="0.2">
      <c r="A278" s="7">
        <v>45021</v>
      </c>
      <c r="B278" s="14" t="str" cm="1">
        <f t="array" ref="B278">_xlfn.IFS(G278="Electronics","P001", G278="MRO","P002", G278="Office Supplies","P003", G278="Packaging","P004", G278="Raw Materials","P005")</f>
        <v>P001</v>
      </c>
      <c r="C278" s="8">
        <v>1001</v>
      </c>
      <c r="D278" s="8">
        <v>55.7</v>
      </c>
      <c r="E278" s="9">
        <v>1.032</v>
      </c>
      <c r="F278" s="8" t="s">
        <v>5</v>
      </c>
      <c r="G278" s="15" t="s">
        <v>39</v>
      </c>
    </row>
    <row r="279" spans="1:7" x14ac:dyDescent="0.2">
      <c r="A279" s="10">
        <v>44705</v>
      </c>
      <c r="B279" s="13" t="str" cm="1">
        <f t="array" ref="B279">_xlfn.IFS(G279="Electronics","P001", G279="MRO","P002", G279="Office Supplies","P003", G279="Packaging","P004", G279="Raw Materials","P005")</f>
        <v>P003</v>
      </c>
      <c r="C279" s="11">
        <v>1154</v>
      </c>
      <c r="D279" s="11">
        <v>54.11</v>
      </c>
      <c r="E279" s="9">
        <v>0.98799999999999999</v>
      </c>
      <c r="F279" s="11" t="s">
        <v>5</v>
      </c>
      <c r="G279" s="16" t="s">
        <v>35</v>
      </c>
    </row>
    <row r="280" spans="1:7" x14ac:dyDescent="0.2">
      <c r="A280" s="7">
        <v>44994</v>
      </c>
      <c r="B280" s="14" t="str" cm="1">
        <f t="array" ref="B280">_xlfn.IFS(G280="Electronics","P001", G280="MRO","P002", G280="Office Supplies","P003", G280="Packaging","P004", G280="Raw Materials","P005")</f>
        <v>P004</v>
      </c>
      <c r="C280" s="8">
        <v>748</v>
      </c>
      <c r="D280" s="8">
        <v>32.71</v>
      </c>
      <c r="E280" s="9">
        <v>1.115</v>
      </c>
      <c r="F280" s="8" t="s">
        <v>6</v>
      </c>
      <c r="G280" s="15" t="s">
        <v>37</v>
      </c>
    </row>
    <row r="281" spans="1:7" x14ac:dyDescent="0.2">
      <c r="A281" s="10">
        <v>44749</v>
      </c>
      <c r="B281" s="13" t="str" cm="1">
        <f t="array" ref="B281">_xlfn.IFS(G281="Electronics","P001", G281="MRO","P002", G281="Office Supplies","P003", G281="Packaging","P004", G281="Raw Materials","P005")</f>
        <v>P003</v>
      </c>
      <c r="C281" s="11">
        <v>162</v>
      </c>
      <c r="D281" s="11">
        <v>78.760000000000005</v>
      </c>
      <c r="E281" s="9">
        <v>0.99199999999999999</v>
      </c>
      <c r="F281" s="11" t="s">
        <v>5</v>
      </c>
      <c r="G281" s="16" t="s">
        <v>35</v>
      </c>
    </row>
    <row r="282" spans="1:7" x14ac:dyDescent="0.2">
      <c r="A282" s="7">
        <v>44847</v>
      </c>
      <c r="B282" s="13" t="str" cm="1">
        <f t="array" ref="B282">_xlfn.IFS(G282="Electronics","P001", G282="MRO","P002", G282="Office Supplies","P003", G282="Packaging","P004", G282="Raw Materials","P005")</f>
        <v>P004</v>
      </c>
      <c r="C282" s="8">
        <v>51</v>
      </c>
      <c r="D282" s="8">
        <v>24.13</v>
      </c>
      <c r="E282" s="9">
        <v>0.94299999999999995</v>
      </c>
      <c r="F282" s="8" t="s">
        <v>5</v>
      </c>
      <c r="G282" s="15" t="s">
        <v>37</v>
      </c>
    </row>
    <row r="283" spans="1:7" x14ac:dyDescent="0.2">
      <c r="A283" s="10">
        <v>45035</v>
      </c>
      <c r="B283" s="14" t="str" cm="1">
        <f t="array" ref="B283">_xlfn.IFS(G283="Electronics","P001", G283="MRO","P002", G283="Office Supplies","P003", G283="Packaging","P004", G283="Raw Materials","P005")</f>
        <v>P003</v>
      </c>
      <c r="C283" s="11">
        <v>691</v>
      </c>
      <c r="D283" s="11">
        <v>39.1</v>
      </c>
      <c r="E283" s="9">
        <v>1.032</v>
      </c>
      <c r="F283" s="11" t="s">
        <v>5</v>
      </c>
      <c r="G283" s="16" t="s">
        <v>35</v>
      </c>
    </row>
    <row r="284" spans="1:7" x14ac:dyDescent="0.2">
      <c r="A284" s="7">
        <v>44817</v>
      </c>
      <c r="B284" s="13" t="str" cm="1">
        <f t="array" ref="B284">_xlfn.IFS(G284="Electronics","P001", G284="MRO","P002", G284="Office Supplies","P003", G284="Packaging","P004", G284="Raw Materials","P005")</f>
        <v>P003</v>
      </c>
      <c r="C284" s="8">
        <v>269</v>
      </c>
      <c r="D284" s="8">
        <v>45.75</v>
      </c>
      <c r="E284" s="9">
        <v>0.98099999999999998</v>
      </c>
      <c r="F284" s="8" t="s">
        <v>6</v>
      </c>
      <c r="G284" s="15" t="s">
        <v>35</v>
      </c>
    </row>
    <row r="285" spans="1:7" x14ac:dyDescent="0.2">
      <c r="A285" s="10">
        <v>44639</v>
      </c>
      <c r="B285" s="14" t="str" cm="1">
        <f t="array" ref="B285">_xlfn.IFS(G285="Electronics","P001", G285="MRO","P002", G285="Office Supplies","P003", G285="Packaging","P004", G285="Raw Materials","P005")</f>
        <v>P001</v>
      </c>
      <c r="C285" s="11">
        <v>1639</v>
      </c>
      <c r="D285" s="11">
        <v>55.4</v>
      </c>
      <c r="E285" s="9">
        <v>1.115</v>
      </c>
      <c r="F285" s="11" t="s">
        <v>5</v>
      </c>
      <c r="G285" s="16" t="s">
        <v>39</v>
      </c>
    </row>
    <row r="286" spans="1:7" x14ac:dyDescent="0.2">
      <c r="A286" s="7">
        <v>45015</v>
      </c>
      <c r="B286" s="13" t="str" cm="1">
        <f t="array" ref="B286">_xlfn.IFS(G286="Electronics","P001", G286="MRO","P002", G286="Office Supplies","P003", G286="Packaging","P004", G286="Raw Materials","P005")</f>
        <v>P005</v>
      </c>
      <c r="C286" s="8">
        <v>904</v>
      </c>
      <c r="D286" s="8">
        <v>30.06</v>
      </c>
      <c r="E286" s="9">
        <v>1.115</v>
      </c>
      <c r="F286" s="8" t="s">
        <v>5</v>
      </c>
      <c r="G286" s="15" t="s">
        <v>38</v>
      </c>
    </row>
    <row r="287" spans="1:7" x14ac:dyDescent="0.2">
      <c r="A287" s="10">
        <v>45125</v>
      </c>
      <c r="B287" s="13" t="str" cm="1">
        <f t="array" ref="B287">_xlfn.IFS(G287="Electronics","P001", G287="MRO","P002", G287="Office Supplies","P003", G287="Packaging","P004", G287="Raw Materials","P005")</f>
        <v>P003</v>
      </c>
      <c r="C287" s="11">
        <v>1809</v>
      </c>
      <c r="D287" s="11">
        <v>19.649999999999999</v>
      </c>
      <c r="E287" s="9">
        <v>0.99199999999999999</v>
      </c>
      <c r="F287" s="11" t="s">
        <v>5</v>
      </c>
      <c r="G287" s="16" t="s">
        <v>35</v>
      </c>
    </row>
    <row r="288" spans="1:7" x14ac:dyDescent="0.2">
      <c r="A288" s="7">
        <v>44662</v>
      </c>
      <c r="B288" s="14" t="str" cm="1">
        <f t="array" ref="B288">_xlfn.IFS(G288="Electronics","P001", G288="MRO","P002", G288="Office Supplies","P003", G288="Packaging","P004", G288="Raw Materials","P005")</f>
        <v>P004</v>
      </c>
      <c r="C288" s="8">
        <v>1298</v>
      </c>
      <c r="D288" s="8">
        <v>58.95</v>
      </c>
      <c r="E288" s="9">
        <v>1.032</v>
      </c>
      <c r="F288" s="8" t="s">
        <v>5</v>
      </c>
      <c r="G288" s="15" t="s">
        <v>37</v>
      </c>
    </row>
    <row r="289" spans="1:7" x14ac:dyDescent="0.2">
      <c r="A289" s="10">
        <v>44613</v>
      </c>
      <c r="B289" s="13" t="str" cm="1">
        <f t="array" ref="B289">_xlfn.IFS(G289="Electronics","P001", G289="MRO","P002", G289="Office Supplies","P003", G289="Packaging","P004", G289="Raw Materials","P005")</f>
        <v>P004</v>
      </c>
      <c r="C289" s="11">
        <v>434</v>
      </c>
      <c r="D289" s="11">
        <v>34.79</v>
      </c>
      <c r="E289" s="9">
        <v>1.0920000000000001</v>
      </c>
      <c r="F289" s="11" t="s">
        <v>5</v>
      </c>
      <c r="G289" s="16" t="s">
        <v>37</v>
      </c>
    </row>
    <row r="290" spans="1:7" x14ac:dyDescent="0.2">
      <c r="A290" s="7">
        <v>45229</v>
      </c>
      <c r="B290" s="14" t="str" cm="1">
        <f t="array" ref="B290">_xlfn.IFS(G290="Electronics","P001", G290="MRO","P002", G290="Office Supplies","P003", G290="Packaging","P004", G290="Raw Materials","P005")</f>
        <v>P001</v>
      </c>
      <c r="C290" s="8">
        <v>1476</v>
      </c>
      <c r="D290" s="8">
        <v>65.28</v>
      </c>
      <c r="E290" s="9">
        <v>0.94299999999999995</v>
      </c>
      <c r="F290" s="8" t="s">
        <v>5</v>
      </c>
      <c r="G290" s="15" t="s">
        <v>39</v>
      </c>
    </row>
    <row r="291" spans="1:7" x14ac:dyDescent="0.2">
      <c r="A291" s="10">
        <v>45115</v>
      </c>
      <c r="B291" s="13" t="str" cm="1">
        <f t="array" ref="B291">_xlfn.IFS(G291="Electronics","P001", G291="MRO","P002", G291="Office Supplies","P003", G291="Packaging","P004", G291="Raw Materials","P005")</f>
        <v>P005</v>
      </c>
      <c r="C291" s="11">
        <v>1711</v>
      </c>
      <c r="D291" s="11">
        <v>24.81</v>
      </c>
      <c r="E291" s="9">
        <v>0.99199999999999999</v>
      </c>
      <c r="F291" s="11" t="s">
        <v>5</v>
      </c>
      <c r="G291" s="16" t="s">
        <v>38</v>
      </c>
    </row>
    <row r="292" spans="1:7" x14ac:dyDescent="0.2">
      <c r="A292" s="7">
        <v>44577</v>
      </c>
      <c r="B292" s="13" t="str" cm="1">
        <f t="array" ref="B292">_xlfn.IFS(G292="Electronics","P001", G292="MRO","P002", G292="Office Supplies","P003", G292="Packaging","P004", G292="Raw Materials","P005")</f>
        <v>P004</v>
      </c>
      <c r="C292" s="8">
        <v>1203</v>
      </c>
      <c r="D292" s="8">
        <v>47.68</v>
      </c>
      <c r="E292" s="9">
        <v>0.999</v>
      </c>
      <c r="F292" s="8" t="s">
        <v>5</v>
      </c>
      <c r="G292" s="15" t="s">
        <v>37</v>
      </c>
    </row>
    <row r="293" spans="1:7" x14ac:dyDescent="0.2">
      <c r="A293" s="10">
        <v>44657</v>
      </c>
      <c r="B293" s="14" t="str" cm="1">
        <f t="array" ref="B293">_xlfn.IFS(G293="Electronics","P001", G293="MRO","P002", G293="Office Supplies","P003", G293="Packaging","P004", G293="Raw Materials","P005")</f>
        <v>P001</v>
      </c>
      <c r="C293" s="11">
        <v>1126</v>
      </c>
      <c r="D293" s="11">
        <v>52.22</v>
      </c>
      <c r="E293" s="9">
        <v>1.032</v>
      </c>
      <c r="F293" s="11" t="s">
        <v>5</v>
      </c>
      <c r="G293" s="16" t="s">
        <v>39</v>
      </c>
    </row>
    <row r="294" spans="1:7" x14ac:dyDescent="0.2">
      <c r="A294" s="7">
        <v>44804</v>
      </c>
      <c r="B294" s="13" t="str" cm="1">
        <f t="array" ref="B294">_xlfn.IFS(G294="Electronics","P001", G294="MRO","P002", G294="Office Supplies","P003", G294="Packaging","P004", G294="Raw Materials","P005")</f>
        <v>P004</v>
      </c>
      <c r="C294" s="8">
        <v>1757</v>
      </c>
      <c r="D294" s="8">
        <v>13.06</v>
      </c>
      <c r="E294" s="9">
        <v>0.96899999999999997</v>
      </c>
      <c r="F294" s="8" t="s">
        <v>5</v>
      </c>
      <c r="G294" s="15" t="s">
        <v>37</v>
      </c>
    </row>
    <row r="295" spans="1:7" x14ac:dyDescent="0.2">
      <c r="A295" s="10">
        <v>44732</v>
      </c>
      <c r="B295" s="14" t="str" cm="1">
        <f t="array" ref="B295">_xlfn.IFS(G295="Electronics","P001", G295="MRO","P002", G295="Office Supplies","P003", G295="Packaging","P004", G295="Raw Materials","P005")</f>
        <v>P002</v>
      </c>
      <c r="C295" s="11">
        <v>779</v>
      </c>
      <c r="D295" s="11">
        <v>36.28</v>
      </c>
      <c r="E295" s="9">
        <v>0.89100000000000001</v>
      </c>
      <c r="F295" s="11" t="s">
        <v>5</v>
      </c>
      <c r="G295" s="16" t="s">
        <v>36</v>
      </c>
    </row>
    <row r="296" spans="1:7" x14ac:dyDescent="0.2">
      <c r="A296" s="7">
        <v>44978</v>
      </c>
      <c r="B296" s="13" t="str" cm="1">
        <f t="array" ref="B296">_xlfn.IFS(G296="Electronics","P001", G296="MRO","P002", G296="Office Supplies","P003", G296="Packaging","P004", G296="Raw Materials","P005")</f>
        <v>P003</v>
      </c>
      <c r="C296" s="8">
        <v>1745</v>
      </c>
      <c r="D296" s="8">
        <v>22.57</v>
      </c>
      <c r="E296" s="9">
        <v>1.0920000000000001</v>
      </c>
      <c r="F296" s="8" t="s">
        <v>6</v>
      </c>
      <c r="G296" s="15" t="s">
        <v>35</v>
      </c>
    </row>
    <row r="297" spans="1:7" x14ac:dyDescent="0.2">
      <c r="A297" s="10">
        <v>45059</v>
      </c>
      <c r="B297" s="13" t="str" cm="1">
        <f t="array" ref="B297">_xlfn.IFS(G297="Electronics","P001", G297="MRO","P002", G297="Office Supplies","P003", G297="Packaging","P004", G297="Raw Materials","P005")</f>
        <v>P005</v>
      </c>
      <c r="C297" s="11">
        <v>1783</v>
      </c>
      <c r="D297" s="11">
        <v>15.8</v>
      </c>
      <c r="E297" s="9">
        <v>0.98799999999999999</v>
      </c>
      <c r="F297" s="11" t="s">
        <v>5</v>
      </c>
      <c r="G297" s="16" t="s">
        <v>38</v>
      </c>
    </row>
    <row r="298" spans="1:7" x14ac:dyDescent="0.2">
      <c r="A298" s="7">
        <v>45054</v>
      </c>
      <c r="B298" s="14" t="str" cm="1">
        <f t="array" ref="B298">_xlfn.IFS(G298="Electronics","P001", G298="MRO","P002", G298="Office Supplies","P003", G298="Packaging","P004", G298="Raw Materials","P005")</f>
        <v>P003</v>
      </c>
      <c r="C298" s="8">
        <v>1489</v>
      </c>
      <c r="D298" s="8">
        <v>93.3</v>
      </c>
      <c r="E298" s="9">
        <v>0.98799999999999999</v>
      </c>
      <c r="F298" s="8" t="s">
        <v>5</v>
      </c>
      <c r="G298" s="15" t="s">
        <v>35</v>
      </c>
    </row>
    <row r="299" spans="1:7" x14ac:dyDescent="0.2">
      <c r="A299" s="10">
        <v>44780</v>
      </c>
      <c r="B299" s="13" t="str" cm="1">
        <f t="array" ref="B299">_xlfn.IFS(G299="Electronics","P001", G299="MRO","P002", G299="Office Supplies","P003", G299="Packaging","P004", G299="Raw Materials","P005")</f>
        <v>P003</v>
      </c>
      <c r="C299" s="11">
        <v>296</v>
      </c>
      <c r="D299" s="11">
        <v>35.25</v>
      </c>
      <c r="E299" s="9">
        <v>0.96899999999999997</v>
      </c>
      <c r="F299" s="11" t="s">
        <v>5</v>
      </c>
      <c r="G299" s="16" t="s">
        <v>35</v>
      </c>
    </row>
    <row r="300" spans="1:7" x14ac:dyDescent="0.2">
      <c r="A300" s="7">
        <v>44972</v>
      </c>
      <c r="B300" s="14" t="str" cm="1">
        <f t="array" ref="B300">_xlfn.IFS(G300="Electronics","P001", G300="MRO","P002", G300="Office Supplies","P003", G300="Packaging","P004", G300="Raw Materials","P005")</f>
        <v>P002</v>
      </c>
      <c r="C300" s="8">
        <v>885</v>
      </c>
      <c r="D300" s="8">
        <v>80.8</v>
      </c>
      <c r="E300" s="9">
        <v>1.0920000000000001</v>
      </c>
      <c r="F300" s="8" t="s">
        <v>5</v>
      </c>
      <c r="G300" s="15" t="s">
        <v>36</v>
      </c>
    </row>
    <row r="301" spans="1:7" x14ac:dyDescent="0.2">
      <c r="A301" s="10">
        <v>44622</v>
      </c>
      <c r="B301" s="13" t="str" cm="1">
        <f t="array" ref="B301">_xlfn.IFS(G301="Electronics","P001", G301="MRO","P002", G301="Office Supplies","P003", G301="Packaging","P004", G301="Raw Materials","P005")</f>
        <v>P005</v>
      </c>
      <c r="C301" s="11">
        <v>1512</v>
      </c>
      <c r="D301" s="11">
        <v>30.15</v>
      </c>
      <c r="E301" s="9">
        <v>1.115</v>
      </c>
      <c r="F301" s="11" t="s">
        <v>5</v>
      </c>
      <c r="G301" s="16" t="s">
        <v>38</v>
      </c>
    </row>
    <row r="302" spans="1:7" x14ac:dyDescent="0.2">
      <c r="A302" s="7">
        <v>44730</v>
      </c>
      <c r="B302" s="13" t="str" cm="1">
        <f t="array" ref="B302">_xlfn.IFS(G302="Electronics","P001", G302="MRO","P002", G302="Office Supplies","P003", G302="Packaging","P004", G302="Raw Materials","P005")</f>
        <v>P003</v>
      </c>
      <c r="C302" s="8">
        <v>252</v>
      </c>
      <c r="D302" s="8">
        <v>67.64</v>
      </c>
      <c r="E302" s="9">
        <v>0.89100000000000001</v>
      </c>
      <c r="F302" s="8" t="s">
        <v>6</v>
      </c>
      <c r="G302" s="15" t="s">
        <v>35</v>
      </c>
    </row>
    <row r="303" spans="1:7" x14ac:dyDescent="0.2">
      <c r="A303" s="10">
        <v>44950</v>
      </c>
      <c r="B303" s="14" t="str" cm="1">
        <f t="array" ref="B303">_xlfn.IFS(G303="Electronics","P001", G303="MRO","P002", G303="Office Supplies","P003", G303="Packaging","P004", G303="Raw Materials","P005")</f>
        <v>P001</v>
      </c>
      <c r="C303" s="11">
        <v>1257</v>
      </c>
      <c r="D303" s="11">
        <v>81.89</v>
      </c>
      <c r="E303" s="9">
        <v>0.999</v>
      </c>
      <c r="F303" s="11" t="s">
        <v>5</v>
      </c>
      <c r="G303" s="16" t="s">
        <v>39</v>
      </c>
    </row>
    <row r="304" spans="1:7" x14ac:dyDescent="0.2">
      <c r="A304" s="7">
        <v>44564</v>
      </c>
      <c r="B304" s="13" t="str" cm="1">
        <f t="array" ref="B304">_xlfn.IFS(G304="Electronics","P001", G304="MRO","P002", G304="Office Supplies","P003", G304="Packaging","P004", G304="Raw Materials","P005")</f>
        <v>P004</v>
      </c>
      <c r="C304" s="8">
        <v>172</v>
      </c>
      <c r="D304" s="8">
        <v>55.92</v>
      </c>
      <c r="E304" s="9">
        <v>0.999</v>
      </c>
      <c r="F304" s="8" t="s">
        <v>5</v>
      </c>
      <c r="G304" s="15" t="s">
        <v>37</v>
      </c>
    </row>
    <row r="305" spans="1:7" x14ac:dyDescent="0.2">
      <c r="A305" s="10">
        <v>44961</v>
      </c>
      <c r="B305" s="14" t="str" cm="1">
        <f t="array" ref="B305">_xlfn.IFS(G305="Electronics","P001", G305="MRO","P002", G305="Office Supplies","P003", G305="Packaging","P004", G305="Raw Materials","P005")</f>
        <v>P004</v>
      </c>
      <c r="C305" s="11">
        <v>450</v>
      </c>
      <c r="D305" s="11">
        <v>49.88</v>
      </c>
      <c r="E305" s="9">
        <v>1.0920000000000001</v>
      </c>
      <c r="F305" s="11" t="s">
        <v>5</v>
      </c>
      <c r="G305" s="16" t="s">
        <v>37</v>
      </c>
    </row>
    <row r="306" spans="1:7" x14ac:dyDescent="0.2">
      <c r="A306" s="7">
        <v>44833</v>
      </c>
      <c r="B306" s="13" t="str" cm="1">
        <f t="array" ref="B306">_xlfn.IFS(G306="Electronics","P001", G306="MRO","P002", G306="Office Supplies","P003", G306="Packaging","P004", G306="Raw Materials","P005")</f>
        <v>P001</v>
      </c>
      <c r="C306" s="8">
        <v>816</v>
      </c>
      <c r="D306" s="8">
        <v>43.42</v>
      </c>
      <c r="E306" s="9">
        <v>0.98099999999999998</v>
      </c>
      <c r="F306" s="8" t="s">
        <v>5</v>
      </c>
      <c r="G306" s="15" t="s">
        <v>39</v>
      </c>
    </row>
    <row r="307" spans="1:7" x14ac:dyDescent="0.2">
      <c r="A307" s="10">
        <v>45027</v>
      </c>
      <c r="B307" s="13" t="str" cm="1">
        <f t="array" ref="B307">_xlfn.IFS(G307="Electronics","P001", G307="MRO","P002", G307="Office Supplies","P003", G307="Packaging","P004", G307="Raw Materials","P005")</f>
        <v>P004</v>
      </c>
      <c r="C307" s="11">
        <v>343</v>
      </c>
      <c r="D307" s="11">
        <v>38.57</v>
      </c>
      <c r="E307" s="9">
        <v>1.032</v>
      </c>
      <c r="F307" s="11" t="s">
        <v>5</v>
      </c>
      <c r="G307" s="16" t="s">
        <v>37</v>
      </c>
    </row>
    <row r="308" spans="1:7" x14ac:dyDescent="0.2">
      <c r="A308" s="7">
        <v>44854</v>
      </c>
      <c r="B308" s="14" t="str" cm="1">
        <f t="array" ref="B308">_xlfn.IFS(G308="Electronics","P001", G308="MRO","P002", G308="Office Supplies","P003", G308="Packaging","P004", G308="Raw Materials","P005")</f>
        <v>P002</v>
      </c>
      <c r="C308" s="8">
        <v>329</v>
      </c>
      <c r="D308" s="8">
        <v>85.35</v>
      </c>
      <c r="E308" s="9">
        <v>0.94299999999999995</v>
      </c>
      <c r="F308" s="8" t="s">
        <v>6</v>
      </c>
      <c r="G308" s="15" t="s">
        <v>36</v>
      </c>
    </row>
    <row r="309" spans="1:7" x14ac:dyDescent="0.2">
      <c r="A309" s="10">
        <v>44995</v>
      </c>
      <c r="B309" s="13" t="str" cm="1">
        <f t="array" ref="B309">_xlfn.IFS(G309="Electronics","P001", G309="MRO","P002", G309="Office Supplies","P003", G309="Packaging","P004", G309="Raw Materials","P005")</f>
        <v>P001</v>
      </c>
      <c r="C309" s="11">
        <v>1910</v>
      </c>
      <c r="D309" s="11">
        <v>85.8</v>
      </c>
      <c r="E309" s="9">
        <v>1.115</v>
      </c>
      <c r="F309" s="11" t="s">
        <v>5</v>
      </c>
      <c r="G309" s="16" t="s">
        <v>39</v>
      </c>
    </row>
    <row r="310" spans="1:7" x14ac:dyDescent="0.2">
      <c r="A310" s="7">
        <v>45275</v>
      </c>
      <c r="B310" s="14" t="str" cm="1">
        <f t="array" ref="B310">_xlfn.IFS(G310="Electronics","P001", G310="MRO","P002", G310="Office Supplies","P003", G310="Packaging","P004", G310="Raw Materials","P005")</f>
        <v>P002</v>
      </c>
      <c r="C310" s="8">
        <v>933</v>
      </c>
      <c r="D310" s="8">
        <v>104.29</v>
      </c>
      <c r="E310" s="9">
        <v>1.032</v>
      </c>
      <c r="F310" s="8" t="s">
        <v>5</v>
      </c>
      <c r="G310" s="15" t="s">
        <v>36</v>
      </c>
    </row>
    <row r="311" spans="1:7" x14ac:dyDescent="0.2">
      <c r="A311" s="10">
        <v>45131</v>
      </c>
      <c r="B311" s="13" t="str" cm="1">
        <f t="array" ref="B311">_xlfn.IFS(G311="Electronics","P001", G311="MRO","P002", G311="Office Supplies","P003", G311="Packaging","P004", G311="Raw Materials","P005")</f>
        <v>P005</v>
      </c>
      <c r="C311" s="11">
        <v>1683</v>
      </c>
      <c r="D311" s="11">
        <v>21.88</v>
      </c>
      <c r="E311" s="9">
        <v>0.99199999999999999</v>
      </c>
      <c r="F311" s="11" t="s">
        <v>5</v>
      </c>
      <c r="G311" s="16" t="s">
        <v>38</v>
      </c>
    </row>
    <row r="312" spans="1:7" x14ac:dyDescent="0.2">
      <c r="A312" s="7">
        <v>45239</v>
      </c>
      <c r="B312" s="13" t="str" cm="1">
        <f t="array" ref="B312">_xlfn.IFS(G312="Electronics","P001", G312="MRO","P002", G312="Office Supplies","P003", G312="Packaging","P004", G312="Raw Materials","P005")</f>
        <v>P004</v>
      </c>
      <c r="C312" s="8">
        <v>247</v>
      </c>
      <c r="D312" s="8">
        <v>71.97</v>
      </c>
      <c r="E312" s="9">
        <v>0.95299999999999996</v>
      </c>
      <c r="F312" s="8" t="s">
        <v>5</v>
      </c>
      <c r="G312" s="15" t="s">
        <v>37</v>
      </c>
    </row>
    <row r="313" spans="1:7" x14ac:dyDescent="0.2">
      <c r="A313" s="10">
        <v>45060</v>
      </c>
      <c r="B313" s="14" t="str" cm="1">
        <f t="array" ref="B313">_xlfn.IFS(G313="Electronics","P001", G313="MRO","P002", G313="Office Supplies","P003", G313="Packaging","P004", G313="Raw Materials","P005")</f>
        <v>P002</v>
      </c>
      <c r="C313" s="11">
        <v>1031</v>
      </c>
      <c r="D313" s="11">
        <v>98.65</v>
      </c>
      <c r="E313" s="9">
        <v>0.98799999999999999</v>
      </c>
      <c r="F313" s="11" t="s">
        <v>5</v>
      </c>
      <c r="G313" s="16" t="s">
        <v>36</v>
      </c>
    </row>
    <row r="314" spans="1:7" x14ac:dyDescent="0.2">
      <c r="A314" s="7">
        <v>44720</v>
      </c>
      <c r="B314" s="13" t="str" cm="1">
        <f t="array" ref="B314">_xlfn.IFS(G314="Electronics","P001", G314="MRO","P002", G314="Office Supplies","P003", G314="Packaging","P004", G314="Raw Materials","P005")</f>
        <v>P004</v>
      </c>
      <c r="C314" s="8">
        <v>1980</v>
      </c>
      <c r="D314" s="8">
        <v>24.16</v>
      </c>
      <c r="E314" s="9">
        <v>0.89100000000000001</v>
      </c>
      <c r="F314" s="8" t="s">
        <v>5</v>
      </c>
      <c r="G314" s="15" t="s">
        <v>37</v>
      </c>
    </row>
    <row r="315" spans="1:7" x14ac:dyDescent="0.2">
      <c r="A315" s="10">
        <v>44756</v>
      </c>
      <c r="B315" s="14" t="str" cm="1">
        <f t="array" ref="B315">_xlfn.IFS(G315="Electronics","P001", G315="MRO","P002", G315="Office Supplies","P003", G315="Packaging","P004", G315="Raw Materials","P005")</f>
        <v>P005</v>
      </c>
      <c r="C315" s="11">
        <v>1584</v>
      </c>
      <c r="D315" s="11">
        <v>14.2</v>
      </c>
      <c r="E315" s="9">
        <v>0.99199999999999999</v>
      </c>
      <c r="F315" s="11" t="s">
        <v>5</v>
      </c>
      <c r="G315" s="16" t="s">
        <v>38</v>
      </c>
    </row>
    <row r="316" spans="1:7" x14ac:dyDescent="0.2">
      <c r="A316" s="7">
        <v>44865</v>
      </c>
      <c r="B316" s="13" t="str" cm="1">
        <f t="array" ref="B316">_xlfn.IFS(G316="Electronics","P001", G316="MRO","P002", G316="Office Supplies","P003", G316="Packaging","P004", G316="Raw Materials","P005")</f>
        <v>P003</v>
      </c>
      <c r="C316" s="8">
        <v>801</v>
      </c>
      <c r="D316" s="8">
        <v>70.91</v>
      </c>
      <c r="E316" s="9">
        <v>0.94299999999999995</v>
      </c>
      <c r="F316" s="8" t="s">
        <v>5</v>
      </c>
      <c r="G316" s="15" t="s">
        <v>35</v>
      </c>
    </row>
    <row r="317" spans="1:7" x14ac:dyDescent="0.2">
      <c r="A317" s="10">
        <v>44784</v>
      </c>
      <c r="B317" s="13" t="str" cm="1">
        <f t="array" ref="B317">_xlfn.IFS(G317="Electronics","P001", G317="MRO","P002", G317="Office Supplies","P003", G317="Packaging","P004", G317="Raw Materials","P005")</f>
        <v>P004</v>
      </c>
      <c r="C317" s="11">
        <v>193</v>
      </c>
      <c r="D317" s="11">
        <v>57.46</v>
      </c>
      <c r="E317" s="9">
        <v>0.96899999999999997</v>
      </c>
      <c r="F317" s="11" t="s">
        <v>5</v>
      </c>
      <c r="G317" s="16" t="s">
        <v>37</v>
      </c>
    </row>
    <row r="318" spans="1:7" x14ac:dyDescent="0.2">
      <c r="A318" s="7">
        <v>44621</v>
      </c>
      <c r="B318" s="14" t="str" cm="1">
        <f t="array" ref="B318">_xlfn.IFS(G318="Electronics","P001", G318="MRO","P002", G318="Office Supplies","P003", G318="Packaging","P004", G318="Raw Materials","P005")</f>
        <v>P005</v>
      </c>
      <c r="C318" s="8">
        <v>658</v>
      </c>
      <c r="D318" s="8">
        <v>79.849999999999994</v>
      </c>
      <c r="E318" s="9">
        <v>1.115</v>
      </c>
      <c r="F318" s="8" t="s">
        <v>5</v>
      </c>
      <c r="G318" s="15" t="s">
        <v>38</v>
      </c>
    </row>
    <row r="319" spans="1:7" x14ac:dyDescent="0.2">
      <c r="A319" s="10">
        <v>45155</v>
      </c>
      <c r="B319" s="13" t="str" cm="1">
        <f t="array" ref="B319">_xlfn.IFS(G319="Electronics","P001", G319="MRO","P002", G319="Office Supplies","P003", G319="Packaging","P004", G319="Raw Materials","P005")</f>
        <v>P001</v>
      </c>
      <c r="C319" s="11">
        <v>1274</v>
      </c>
      <c r="D319" s="11">
        <v>23.36</v>
      </c>
      <c r="E319" s="9">
        <v>0.96899999999999997</v>
      </c>
      <c r="F319" s="11" t="s">
        <v>5</v>
      </c>
      <c r="G319" s="16" t="s">
        <v>39</v>
      </c>
    </row>
    <row r="320" spans="1:7" x14ac:dyDescent="0.2">
      <c r="A320" s="7">
        <v>45117</v>
      </c>
      <c r="B320" s="14" t="str" cm="1">
        <f t="array" ref="B320">_xlfn.IFS(G320="Electronics","P001", G320="MRO","P002", G320="Office Supplies","P003", G320="Packaging","P004", G320="Raw Materials","P005")</f>
        <v>P004</v>
      </c>
      <c r="C320" s="8">
        <v>1197</v>
      </c>
      <c r="D320" s="8">
        <v>78.819999999999993</v>
      </c>
      <c r="E320" s="9">
        <v>0.99199999999999999</v>
      </c>
      <c r="F320" s="8" t="s">
        <v>5</v>
      </c>
      <c r="G320" s="15" t="s">
        <v>37</v>
      </c>
    </row>
    <row r="321" spans="1:7" x14ac:dyDescent="0.2">
      <c r="A321" s="10">
        <v>44624</v>
      </c>
      <c r="B321" s="13" t="str" cm="1">
        <f t="array" ref="B321">_xlfn.IFS(G321="Electronics","P001", G321="MRO","P002", G321="Office Supplies","P003", G321="Packaging","P004", G321="Raw Materials","P005")</f>
        <v>P001</v>
      </c>
      <c r="C321" s="11">
        <v>236</v>
      </c>
      <c r="D321" s="11">
        <v>28.11</v>
      </c>
      <c r="E321" s="9">
        <v>1.115</v>
      </c>
      <c r="F321" s="11" t="s">
        <v>5</v>
      </c>
      <c r="G321" s="16" t="s">
        <v>39</v>
      </c>
    </row>
    <row r="322" spans="1:7" x14ac:dyDescent="0.2">
      <c r="A322" s="7">
        <v>44883</v>
      </c>
      <c r="B322" s="13" t="str" cm="1">
        <f t="array" ref="B322">_xlfn.IFS(G322="Electronics","P001", G322="MRO","P002", G322="Office Supplies","P003", G322="Packaging","P004", G322="Raw Materials","P005")</f>
        <v>P005</v>
      </c>
      <c r="C322" s="8">
        <v>1399</v>
      </c>
      <c r="D322" s="8">
        <v>22.19</v>
      </c>
      <c r="E322" s="9">
        <v>0.95299999999999996</v>
      </c>
      <c r="F322" s="8" t="s">
        <v>5</v>
      </c>
      <c r="G322" s="15" t="s">
        <v>38</v>
      </c>
    </row>
    <row r="323" spans="1:7" x14ac:dyDescent="0.2">
      <c r="A323" s="10">
        <v>44620</v>
      </c>
      <c r="B323" s="14" t="str" cm="1">
        <f t="array" ref="B323">_xlfn.IFS(G323="Electronics","P001", G323="MRO","P002", G323="Office Supplies","P003", G323="Packaging","P004", G323="Raw Materials","P005")</f>
        <v>P001</v>
      </c>
      <c r="C323" s="11">
        <v>513</v>
      </c>
      <c r="D323" s="11">
        <v>22.58</v>
      </c>
      <c r="E323" s="9">
        <v>1.0920000000000001</v>
      </c>
      <c r="F323" s="11" t="s">
        <v>5</v>
      </c>
      <c r="G323" s="16" t="s">
        <v>39</v>
      </c>
    </row>
    <row r="324" spans="1:7" x14ac:dyDescent="0.2">
      <c r="A324" s="7">
        <v>44613</v>
      </c>
      <c r="B324" s="13" t="str" cm="1">
        <f t="array" ref="B324">_xlfn.IFS(G324="Electronics","P001", G324="MRO","P002", G324="Office Supplies","P003", G324="Packaging","P004", G324="Raw Materials","P005")</f>
        <v>P002</v>
      </c>
      <c r="C324" s="8">
        <v>1422</v>
      </c>
      <c r="D324" s="8">
        <v>76.47</v>
      </c>
      <c r="E324" s="9">
        <v>1.0920000000000001</v>
      </c>
      <c r="F324" s="8" t="s">
        <v>5</v>
      </c>
      <c r="G324" s="15" t="s">
        <v>36</v>
      </c>
    </row>
    <row r="325" spans="1:7" x14ac:dyDescent="0.2">
      <c r="A325" s="10">
        <v>45160</v>
      </c>
      <c r="B325" s="14" t="str" cm="1">
        <f t="array" ref="B325">_xlfn.IFS(G325="Electronics","P001", G325="MRO","P002", G325="Office Supplies","P003", G325="Packaging","P004", G325="Raw Materials","P005")</f>
        <v>P003</v>
      </c>
      <c r="C325" s="11">
        <v>1844</v>
      </c>
      <c r="D325" s="11">
        <v>73.05</v>
      </c>
      <c r="E325" s="9">
        <v>0.96899999999999997</v>
      </c>
      <c r="F325" s="11" t="s">
        <v>5</v>
      </c>
      <c r="G325" s="16" t="s">
        <v>35</v>
      </c>
    </row>
    <row r="326" spans="1:7" x14ac:dyDescent="0.2">
      <c r="A326" s="7">
        <v>45050</v>
      </c>
      <c r="B326" s="13" t="str" cm="1">
        <f t="array" ref="B326">_xlfn.IFS(G326="Electronics","P001", G326="MRO","P002", G326="Office Supplies","P003", G326="Packaging","P004", G326="Raw Materials","P005")</f>
        <v>P001</v>
      </c>
      <c r="C326" s="8">
        <v>709</v>
      </c>
      <c r="D326" s="8">
        <v>54.55</v>
      </c>
      <c r="E326" s="9">
        <v>0.98799999999999999</v>
      </c>
      <c r="F326" s="8" t="s">
        <v>5</v>
      </c>
      <c r="G326" s="15" t="s">
        <v>39</v>
      </c>
    </row>
    <row r="327" spans="1:7" x14ac:dyDescent="0.2">
      <c r="A327" s="10">
        <v>45076</v>
      </c>
      <c r="B327" s="13" t="str" cm="1">
        <f t="array" ref="B327">_xlfn.IFS(G327="Electronics","P001", G327="MRO","P002", G327="Office Supplies","P003", G327="Packaging","P004", G327="Raw Materials","P005")</f>
        <v>P002</v>
      </c>
      <c r="C327" s="11">
        <v>813</v>
      </c>
      <c r="D327" s="11">
        <v>41.78</v>
      </c>
      <c r="E327" s="9">
        <v>0.98799999999999999</v>
      </c>
      <c r="F327" s="11" t="s">
        <v>6</v>
      </c>
      <c r="G327" s="16" t="s">
        <v>36</v>
      </c>
    </row>
    <row r="328" spans="1:7" x14ac:dyDescent="0.2">
      <c r="A328" s="7">
        <v>45105</v>
      </c>
      <c r="B328" s="14" t="str" cm="1">
        <f t="array" ref="B328">_xlfn.IFS(G328="Electronics","P001", G328="MRO","P002", G328="Office Supplies","P003", G328="Packaging","P004", G328="Raw Materials","P005")</f>
        <v>P003</v>
      </c>
      <c r="C328" s="8">
        <v>1004</v>
      </c>
      <c r="D328" s="8">
        <v>92.9</v>
      </c>
      <c r="E328" s="9">
        <v>0.89100000000000001</v>
      </c>
      <c r="F328" s="8" t="s">
        <v>6</v>
      </c>
      <c r="G328" s="15" t="s">
        <v>35</v>
      </c>
    </row>
    <row r="329" spans="1:7" x14ac:dyDescent="0.2">
      <c r="A329" s="10">
        <v>44723</v>
      </c>
      <c r="B329" s="13" t="str" cm="1">
        <f t="array" ref="B329">_xlfn.IFS(G329="Electronics","P001", G329="MRO","P002", G329="Office Supplies","P003", G329="Packaging","P004", G329="Raw Materials","P005")</f>
        <v>P005</v>
      </c>
      <c r="C329" s="11">
        <v>452</v>
      </c>
      <c r="D329" s="11">
        <v>40.39</v>
      </c>
      <c r="E329" s="9">
        <v>0.89100000000000001</v>
      </c>
      <c r="F329" s="11" t="s">
        <v>5</v>
      </c>
      <c r="G329" s="16" t="s">
        <v>38</v>
      </c>
    </row>
    <row r="330" spans="1:7" x14ac:dyDescent="0.2">
      <c r="A330" s="7">
        <v>44620</v>
      </c>
      <c r="B330" s="14" t="str" cm="1">
        <f t="array" ref="B330">_xlfn.IFS(G330="Electronics","P001", G330="MRO","P002", G330="Office Supplies","P003", G330="Packaging","P004", G330="Raw Materials","P005")</f>
        <v>P005</v>
      </c>
      <c r="C330" s="8">
        <v>1419</v>
      </c>
      <c r="D330" s="8">
        <v>71.459999999999994</v>
      </c>
      <c r="E330" s="9">
        <v>1.0920000000000001</v>
      </c>
      <c r="F330" s="8" t="s">
        <v>5</v>
      </c>
      <c r="G330" s="15" t="s">
        <v>38</v>
      </c>
    </row>
    <row r="331" spans="1:7" x14ac:dyDescent="0.2">
      <c r="A331" s="10">
        <v>45082</v>
      </c>
      <c r="B331" s="13" t="str" cm="1">
        <f t="array" ref="B331">_xlfn.IFS(G331="Electronics","P001", G331="MRO","P002", G331="Office Supplies","P003", G331="Packaging","P004", G331="Raw Materials","P005")</f>
        <v>P004</v>
      </c>
      <c r="C331" s="11">
        <v>1584</v>
      </c>
      <c r="D331" s="11">
        <v>51.92</v>
      </c>
      <c r="E331" s="9">
        <v>0.89100000000000001</v>
      </c>
      <c r="F331" s="11" t="s">
        <v>6</v>
      </c>
      <c r="G331" s="16" t="s">
        <v>37</v>
      </c>
    </row>
    <row r="332" spans="1:7" x14ac:dyDescent="0.2">
      <c r="A332" s="7">
        <v>44644</v>
      </c>
      <c r="B332" s="13" t="str" cm="1">
        <f t="array" ref="B332">_xlfn.IFS(G332="Electronics","P001", G332="MRO","P002", G332="Office Supplies","P003", G332="Packaging","P004", G332="Raw Materials","P005")</f>
        <v>P002</v>
      </c>
      <c r="C332" s="8">
        <v>196</v>
      </c>
      <c r="D332" s="8">
        <v>43.81</v>
      </c>
      <c r="E332" s="9">
        <v>1.115</v>
      </c>
      <c r="F332" s="8" t="s">
        <v>5</v>
      </c>
      <c r="G332" s="15" t="s">
        <v>36</v>
      </c>
    </row>
    <row r="333" spans="1:7" x14ac:dyDescent="0.2">
      <c r="A333" s="10">
        <v>44752</v>
      </c>
      <c r="B333" s="14" t="str" cm="1">
        <f t="array" ref="B333">_xlfn.IFS(G333="Electronics","P001", G333="MRO","P002", G333="Office Supplies","P003", G333="Packaging","P004", G333="Raw Materials","P005")</f>
        <v>P003</v>
      </c>
      <c r="C333" s="11">
        <v>1221</v>
      </c>
      <c r="D333" s="11">
        <v>46.18</v>
      </c>
      <c r="E333" s="9">
        <v>0.99199999999999999</v>
      </c>
      <c r="F333" s="11" t="s">
        <v>5</v>
      </c>
      <c r="G333" s="16" t="s">
        <v>35</v>
      </c>
    </row>
    <row r="334" spans="1:7" x14ac:dyDescent="0.2">
      <c r="A334" s="7">
        <v>44632</v>
      </c>
      <c r="B334" s="13" t="str" cm="1">
        <f t="array" ref="B334">_xlfn.IFS(G334="Electronics","P001", G334="MRO","P002", G334="Office Supplies","P003", G334="Packaging","P004", G334="Raw Materials","P005")</f>
        <v>P004</v>
      </c>
      <c r="C334" s="8">
        <v>913</v>
      </c>
      <c r="D334" s="8">
        <v>36.200000000000003</v>
      </c>
      <c r="E334" s="9">
        <v>1.115</v>
      </c>
      <c r="F334" s="8" t="s">
        <v>5</v>
      </c>
      <c r="G334" s="15" t="s">
        <v>37</v>
      </c>
    </row>
    <row r="335" spans="1:7" x14ac:dyDescent="0.2">
      <c r="A335" s="10">
        <v>45171</v>
      </c>
      <c r="B335" s="14" t="str" cm="1">
        <f t="array" ref="B335">_xlfn.IFS(G335="Electronics","P001", G335="MRO","P002", G335="Office Supplies","P003", G335="Packaging","P004", G335="Raw Materials","P005")</f>
        <v>P004</v>
      </c>
      <c r="C335" s="11">
        <v>1784</v>
      </c>
      <c r="D335" s="11">
        <v>76.69</v>
      </c>
      <c r="E335" s="9">
        <v>0.98099999999999998</v>
      </c>
      <c r="F335" s="11" t="s">
        <v>5</v>
      </c>
      <c r="G335" s="16" t="s">
        <v>37</v>
      </c>
    </row>
    <row r="336" spans="1:7" x14ac:dyDescent="0.2">
      <c r="A336" s="7">
        <v>44631</v>
      </c>
      <c r="B336" s="13" t="str" cm="1">
        <f t="array" ref="B336">_xlfn.IFS(G336="Electronics","P001", G336="MRO","P002", G336="Office Supplies","P003", G336="Packaging","P004", G336="Raw Materials","P005")</f>
        <v>P005</v>
      </c>
      <c r="C336" s="8">
        <v>1893</v>
      </c>
      <c r="D336" s="8">
        <v>52.35</v>
      </c>
      <c r="E336" s="9">
        <v>1.115</v>
      </c>
      <c r="F336" s="8" t="s">
        <v>5</v>
      </c>
      <c r="G336" s="15" t="s">
        <v>38</v>
      </c>
    </row>
    <row r="337" spans="1:7" x14ac:dyDescent="0.2">
      <c r="A337" s="10">
        <v>45253</v>
      </c>
      <c r="B337" s="13" t="str" cm="1">
        <f t="array" ref="B337">_xlfn.IFS(G337="Electronics","P001", G337="MRO","P002", G337="Office Supplies","P003", G337="Packaging","P004", G337="Raw Materials","P005")</f>
        <v>P001</v>
      </c>
      <c r="C337" s="11">
        <v>538</v>
      </c>
      <c r="D337" s="11">
        <v>32.25</v>
      </c>
      <c r="E337" s="9">
        <v>0.95299999999999996</v>
      </c>
      <c r="F337" s="11" t="s">
        <v>6</v>
      </c>
      <c r="G337" s="16" t="s">
        <v>39</v>
      </c>
    </row>
    <row r="338" spans="1:7" x14ac:dyDescent="0.2">
      <c r="A338" s="7">
        <v>44802</v>
      </c>
      <c r="B338" s="14" t="str" cm="1">
        <f t="array" ref="B338">_xlfn.IFS(G338="Electronics","P001", G338="MRO","P002", G338="Office Supplies","P003", G338="Packaging","P004", G338="Raw Materials","P005")</f>
        <v>P003</v>
      </c>
      <c r="C338" s="8">
        <v>978</v>
      </c>
      <c r="D338" s="8">
        <v>87.7</v>
      </c>
      <c r="E338" s="9">
        <v>0.96899999999999997</v>
      </c>
      <c r="F338" s="8" t="s">
        <v>6</v>
      </c>
      <c r="G338" s="15" t="s">
        <v>35</v>
      </c>
    </row>
    <row r="339" spans="1:7" x14ac:dyDescent="0.2">
      <c r="A339" s="10">
        <v>44975</v>
      </c>
      <c r="B339" s="13" t="str" cm="1">
        <f t="array" ref="B339">_xlfn.IFS(G339="Electronics","P001", G339="MRO","P002", G339="Office Supplies","P003", G339="Packaging","P004", G339="Raw Materials","P005")</f>
        <v>P005</v>
      </c>
      <c r="C339" s="11">
        <v>1713</v>
      </c>
      <c r="D339" s="11">
        <v>42.05</v>
      </c>
      <c r="E339" s="9">
        <v>1.0920000000000001</v>
      </c>
      <c r="F339" s="11" t="s">
        <v>5</v>
      </c>
      <c r="G339" s="16" t="s">
        <v>38</v>
      </c>
    </row>
    <row r="340" spans="1:7" x14ac:dyDescent="0.2">
      <c r="A340" s="7">
        <v>44684</v>
      </c>
      <c r="B340" s="14" t="str" cm="1">
        <f t="array" ref="B340">_xlfn.IFS(G340="Electronics","P001", G340="MRO","P002", G340="Office Supplies","P003", G340="Packaging","P004", G340="Raw Materials","P005")</f>
        <v>P005</v>
      </c>
      <c r="C340" s="8">
        <v>600</v>
      </c>
      <c r="D340" s="8">
        <v>57.92</v>
      </c>
      <c r="E340" s="9">
        <v>0.98799999999999999</v>
      </c>
      <c r="F340" s="8" t="s">
        <v>6</v>
      </c>
      <c r="G340" s="15" t="s">
        <v>38</v>
      </c>
    </row>
    <row r="341" spans="1:7" x14ac:dyDescent="0.2">
      <c r="A341" s="10">
        <v>45145</v>
      </c>
      <c r="B341" s="13" t="str" cm="1">
        <f t="array" ref="B341">_xlfn.IFS(G341="Electronics","P001", G341="MRO","P002", G341="Office Supplies","P003", G341="Packaging","P004", G341="Raw Materials","P005")</f>
        <v>P001</v>
      </c>
      <c r="C341" s="11">
        <v>387</v>
      </c>
      <c r="D341" s="11">
        <v>85.54</v>
      </c>
      <c r="E341" s="9">
        <v>0.96899999999999997</v>
      </c>
      <c r="F341" s="11" t="s">
        <v>5</v>
      </c>
      <c r="G341" s="16" t="s">
        <v>39</v>
      </c>
    </row>
    <row r="342" spans="1:7" x14ac:dyDescent="0.2">
      <c r="A342" s="7">
        <v>44814</v>
      </c>
      <c r="B342" s="13" t="str" cm="1">
        <f t="array" ref="B342">_xlfn.IFS(G342="Electronics","P001", G342="MRO","P002", G342="Office Supplies","P003", G342="Packaging","P004", G342="Raw Materials","P005")</f>
        <v>P002</v>
      </c>
      <c r="C342" s="8">
        <v>921</v>
      </c>
      <c r="D342" s="8">
        <v>59.13</v>
      </c>
      <c r="E342" s="9">
        <v>0.98099999999999998</v>
      </c>
      <c r="F342" s="8" t="s">
        <v>5</v>
      </c>
      <c r="G342" s="15" t="s">
        <v>36</v>
      </c>
    </row>
    <row r="343" spans="1:7" x14ac:dyDescent="0.2">
      <c r="A343" s="10">
        <v>45154</v>
      </c>
      <c r="B343" s="14" t="str" cm="1">
        <f t="array" ref="B343">_xlfn.IFS(G343="Electronics","P001", G343="MRO","P002", G343="Office Supplies","P003", G343="Packaging","P004", G343="Raw Materials","P005")</f>
        <v>P002</v>
      </c>
      <c r="C343" s="11">
        <v>690</v>
      </c>
      <c r="D343" s="11">
        <v>21.94</v>
      </c>
      <c r="E343" s="9">
        <v>0.96899999999999997</v>
      </c>
      <c r="F343" s="11" t="s">
        <v>5</v>
      </c>
      <c r="G343" s="16" t="s">
        <v>36</v>
      </c>
    </row>
    <row r="344" spans="1:7" x14ac:dyDescent="0.2">
      <c r="A344" s="7">
        <v>45170</v>
      </c>
      <c r="B344" s="13" t="str" cm="1">
        <f t="array" ref="B344">_xlfn.IFS(G344="Electronics","P001", G344="MRO","P002", G344="Office Supplies","P003", G344="Packaging","P004", G344="Raw Materials","P005")</f>
        <v>P003</v>
      </c>
      <c r="C344" s="8">
        <v>1852</v>
      </c>
      <c r="D344" s="8">
        <v>94.89</v>
      </c>
      <c r="E344" s="9">
        <v>0.98099999999999998</v>
      </c>
      <c r="F344" s="8" t="s">
        <v>5</v>
      </c>
      <c r="G344" s="15" t="s">
        <v>35</v>
      </c>
    </row>
    <row r="345" spans="1:7" x14ac:dyDescent="0.2">
      <c r="A345" s="10">
        <v>44602</v>
      </c>
      <c r="B345" s="14" t="str" cm="1">
        <f t="array" ref="B345">_xlfn.IFS(G345="Electronics","P001", G345="MRO","P002", G345="Office Supplies","P003", G345="Packaging","P004", G345="Raw Materials","P005")</f>
        <v>P001</v>
      </c>
      <c r="C345" s="11">
        <v>522</v>
      </c>
      <c r="D345" s="11">
        <v>58.01</v>
      </c>
      <c r="E345" s="9">
        <v>1.0920000000000001</v>
      </c>
      <c r="F345" s="11" t="s">
        <v>5</v>
      </c>
      <c r="G345" s="16" t="s">
        <v>39</v>
      </c>
    </row>
    <row r="346" spans="1:7" x14ac:dyDescent="0.2">
      <c r="A346" s="7">
        <v>45196</v>
      </c>
      <c r="B346" s="13" t="str" cm="1">
        <f t="array" ref="B346">_xlfn.IFS(G346="Electronics","P001", G346="MRO","P002", G346="Office Supplies","P003", G346="Packaging","P004", G346="Raw Materials","P005")</f>
        <v>P001</v>
      </c>
      <c r="C346" s="8">
        <v>200</v>
      </c>
      <c r="D346" s="8">
        <v>43.13</v>
      </c>
      <c r="E346" s="9">
        <v>0.98099999999999998</v>
      </c>
      <c r="F346" s="8" t="s">
        <v>5</v>
      </c>
      <c r="G346" s="15" t="s">
        <v>39</v>
      </c>
    </row>
    <row r="347" spans="1:7" x14ac:dyDescent="0.2">
      <c r="A347" s="10">
        <v>44645</v>
      </c>
      <c r="B347" s="13" t="str" cm="1">
        <f t="array" ref="B347">_xlfn.IFS(G347="Electronics","P001", G347="MRO","P002", G347="Office Supplies","P003", G347="Packaging","P004", G347="Raw Materials","P005")</f>
        <v>P004</v>
      </c>
      <c r="C347" s="11">
        <v>1488</v>
      </c>
      <c r="D347" s="11">
        <v>21.99</v>
      </c>
      <c r="E347" s="9">
        <v>1.115</v>
      </c>
      <c r="F347" s="11" t="s">
        <v>5</v>
      </c>
      <c r="G347" s="16" t="s">
        <v>37</v>
      </c>
    </row>
    <row r="348" spans="1:7" x14ac:dyDescent="0.2">
      <c r="A348" s="7">
        <v>44991</v>
      </c>
      <c r="B348" s="14" t="str" cm="1">
        <f t="array" ref="B348">_xlfn.IFS(G348="Electronics","P001", G348="MRO","P002", G348="Office Supplies","P003", G348="Packaging","P004", G348="Raw Materials","P005")</f>
        <v>P001</v>
      </c>
      <c r="C348" s="8">
        <v>1371</v>
      </c>
      <c r="D348" s="8">
        <v>78.13</v>
      </c>
      <c r="E348" s="9">
        <v>1.115</v>
      </c>
      <c r="F348" s="8" t="s">
        <v>5</v>
      </c>
      <c r="G348" s="15" t="s">
        <v>39</v>
      </c>
    </row>
    <row r="349" spans="1:7" x14ac:dyDescent="0.2">
      <c r="A349" s="10">
        <v>45235</v>
      </c>
      <c r="B349" s="13" t="str" cm="1">
        <f t="array" ref="B349">_xlfn.IFS(G349="Electronics","P001", G349="MRO","P002", G349="Office Supplies","P003", G349="Packaging","P004", G349="Raw Materials","P005")</f>
        <v>P003</v>
      </c>
      <c r="C349" s="11">
        <v>1684</v>
      </c>
      <c r="D349" s="11">
        <v>62.53</v>
      </c>
      <c r="E349" s="9">
        <v>0.95299999999999996</v>
      </c>
      <c r="F349" s="11" t="s">
        <v>5</v>
      </c>
      <c r="G349" s="16" t="s">
        <v>35</v>
      </c>
    </row>
    <row r="350" spans="1:7" x14ac:dyDescent="0.2">
      <c r="A350" s="7">
        <v>45159</v>
      </c>
      <c r="B350" s="14" t="str" cm="1">
        <f t="array" ref="B350">_xlfn.IFS(G350="Electronics","P001", G350="MRO","P002", G350="Office Supplies","P003", G350="Packaging","P004", G350="Raw Materials","P005")</f>
        <v>P001</v>
      </c>
      <c r="C350" s="8">
        <v>312</v>
      </c>
      <c r="D350" s="8">
        <v>58.09</v>
      </c>
      <c r="E350" s="9">
        <v>0.96899999999999997</v>
      </c>
      <c r="F350" s="8" t="s">
        <v>5</v>
      </c>
      <c r="G350" s="15" t="s">
        <v>39</v>
      </c>
    </row>
    <row r="351" spans="1:7" x14ac:dyDescent="0.2">
      <c r="A351" s="10">
        <v>45140</v>
      </c>
      <c r="B351" s="13" t="str" cm="1">
        <f t="array" ref="B351">_xlfn.IFS(G351="Electronics","P001", G351="MRO","P002", G351="Office Supplies","P003", G351="Packaging","P004", G351="Raw Materials","P005")</f>
        <v>P004</v>
      </c>
      <c r="C351" s="11">
        <v>1837</v>
      </c>
      <c r="D351" s="11">
        <v>86.51</v>
      </c>
      <c r="E351" s="9">
        <v>0.96899999999999997</v>
      </c>
      <c r="F351" s="11" t="s">
        <v>5</v>
      </c>
      <c r="G351" s="16" t="s">
        <v>37</v>
      </c>
    </row>
    <row r="352" spans="1:7" x14ac:dyDescent="0.2">
      <c r="A352" s="7">
        <v>45097</v>
      </c>
      <c r="B352" s="13" t="str" cm="1">
        <f t="array" ref="B352">_xlfn.IFS(G352="Electronics","P001", G352="MRO","P002", G352="Office Supplies","P003", G352="Packaging","P004", G352="Raw Materials","P005")</f>
        <v>P002</v>
      </c>
      <c r="C352" s="8">
        <v>193</v>
      </c>
      <c r="D352" s="8">
        <v>81.739999999999995</v>
      </c>
      <c r="E352" s="9">
        <v>0.89100000000000001</v>
      </c>
      <c r="F352" s="8" t="s">
        <v>5</v>
      </c>
      <c r="G352" s="15" t="s">
        <v>36</v>
      </c>
    </row>
    <row r="353" spans="1:7" x14ac:dyDescent="0.2">
      <c r="A353" s="10">
        <v>44885</v>
      </c>
      <c r="B353" s="14" t="str" cm="1">
        <f t="array" ref="B353">_xlfn.IFS(G353="Electronics","P001", G353="MRO","P002", G353="Office Supplies","P003", G353="Packaging","P004", G353="Raw Materials","P005")</f>
        <v>P001</v>
      </c>
      <c r="C353" s="11">
        <v>395</v>
      </c>
      <c r="D353" s="11">
        <v>23.96</v>
      </c>
      <c r="E353" s="9">
        <v>0.95299999999999996</v>
      </c>
      <c r="F353" s="11" t="s">
        <v>5</v>
      </c>
      <c r="G353" s="16" t="s">
        <v>39</v>
      </c>
    </row>
    <row r="354" spans="1:7" x14ac:dyDescent="0.2">
      <c r="A354" s="7">
        <v>44829</v>
      </c>
      <c r="B354" s="13" t="str" cm="1">
        <f t="array" ref="B354">_xlfn.IFS(G354="Electronics","P001", G354="MRO","P002", G354="Office Supplies","P003", G354="Packaging","P004", G354="Raw Materials","P005")</f>
        <v>P001</v>
      </c>
      <c r="C354" s="8">
        <v>673</v>
      </c>
      <c r="D354" s="8">
        <v>35.83</v>
      </c>
      <c r="E354" s="9">
        <v>0.98099999999999998</v>
      </c>
      <c r="F354" s="8" t="s">
        <v>5</v>
      </c>
      <c r="G354" s="15" t="s">
        <v>39</v>
      </c>
    </row>
    <row r="355" spans="1:7" x14ac:dyDescent="0.2">
      <c r="A355" s="10">
        <v>44771</v>
      </c>
      <c r="B355" s="14" t="str" cm="1">
        <f t="array" ref="B355">_xlfn.IFS(G355="Electronics","P001", G355="MRO","P002", G355="Office Supplies","P003", G355="Packaging","P004", G355="Raw Materials","P005")</f>
        <v>P003</v>
      </c>
      <c r="C355" s="11">
        <v>1066</v>
      </c>
      <c r="D355" s="11">
        <v>28.47</v>
      </c>
      <c r="E355" s="9">
        <v>0.99199999999999999</v>
      </c>
      <c r="F355" s="11" t="s">
        <v>6</v>
      </c>
      <c r="G355" s="16" t="s">
        <v>35</v>
      </c>
    </row>
    <row r="356" spans="1:7" x14ac:dyDescent="0.2">
      <c r="A356" s="7">
        <v>45247</v>
      </c>
      <c r="B356" s="13" t="str" cm="1">
        <f t="array" ref="B356">_xlfn.IFS(G356="Electronics","P001", G356="MRO","P002", G356="Office Supplies","P003", G356="Packaging","P004", G356="Raw Materials","P005")</f>
        <v>P004</v>
      </c>
      <c r="C356" s="8">
        <v>1645</v>
      </c>
      <c r="D356" s="8">
        <v>80.78</v>
      </c>
      <c r="E356" s="9">
        <v>0.95299999999999996</v>
      </c>
      <c r="F356" s="8" t="s">
        <v>6</v>
      </c>
      <c r="G356" s="15" t="s">
        <v>37</v>
      </c>
    </row>
    <row r="357" spans="1:7" x14ac:dyDescent="0.2">
      <c r="A357" s="10">
        <v>44883</v>
      </c>
      <c r="B357" s="13" t="str" cm="1">
        <f t="array" ref="B357">_xlfn.IFS(G357="Electronics","P001", G357="MRO","P002", G357="Office Supplies","P003", G357="Packaging","P004", G357="Raw Materials","P005")</f>
        <v>P001</v>
      </c>
      <c r="C357" s="11">
        <v>930</v>
      </c>
      <c r="D357" s="11">
        <v>11.95</v>
      </c>
      <c r="E357" s="9">
        <v>0.95299999999999996</v>
      </c>
      <c r="F357" s="11" t="s">
        <v>5</v>
      </c>
      <c r="G357" s="16" t="s">
        <v>39</v>
      </c>
    </row>
    <row r="358" spans="1:7" x14ac:dyDescent="0.2">
      <c r="A358" s="7">
        <v>44806</v>
      </c>
      <c r="B358" s="14" t="str" cm="1">
        <f t="array" ref="B358">_xlfn.IFS(G358="Electronics","P001", G358="MRO","P002", G358="Office Supplies","P003", G358="Packaging","P004", G358="Raw Materials","P005")</f>
        <v>P003</v>
      </c>
      <c r="C358" s="8">
        <v>51</v>
      </c>
      <c r="D358" s="8">
        <v>56.1</v>
      </c>
      <c r="E358" s="9">
        <v>0.98099999999999998</v>
      </c>
      <c r="F358" s="8" t="s">
        <v>5</v>
      </c>
      <c r="G358" s="15" t="s">
        <v>35</v>
      </c>
    </row>
    <row r="359" spans="1:7" x14ac:dyDescent="0.2">
      <c r="A359" s="10">
        <v>44833</v>
      </c>
      <c r="B359" s="13" t="str" cm="1">
        <f t="array" ref="B359">_xlfn.IFS(G359="Electronics","P001", G359="MRO","P002", G359="Office Supplies","P003", G359="Packaging","P004", G359="Raw Materials","P005")</f>
        <v>P004</v>
      </c>
      <c r="C359" s="11">
        <v>946</v>
      </c>
      <c r="D359" s="11">
        <v>71.650000000000006</v>
      </c>
      <c r="E359" s="9">
        <v>0.98099999999999998</v>
      </c>
      <c r="F359" s="11" t="s">
        <v>5</v>
      </c>
      <c r="G359" s="16" t="s">
        <v>37</v>
      </c>
    </row>
    <row r="360" spans="1:7" x14ac:dyDescent="0.2">
      <c r="A360" s="7">
        <v>44967</v>
      </c>
      <c r="B360" s="14" t="str" cm="1">
        <f t="array" ref="B360">_xlfn.IFS(G360="Electronics","P001", G360="MRO","P002", G360="Office Supplies","P003", G360="Packaging","P004", G360="Raw Materials","P005")</f>
        <v>P005</v>
      </c>
      <c r="C360" s="8">
        <v>1377</v>
      </c>
      <c r="D360" s="8">
        <v>84.2</v>
      </c>
      <c r="E360" s="9">
        <v>1.0920000000000001</v>
      </c>
      <c r="F360" s="8" t="s">
        <v>5</v>
      </c>
      <c r="G360" s="15" t="s">
        <v>38</v>
      </c>
    </row>
    <row r="361" spans="1:7" x14ac:dyDescent="0.2">
      <c r="A361" s="10">
        <v>44696</v>
      </c>
      <c r="B361" s="13" t="str" cm="1">
        <f t="array" ref="B361">_xlfn.IFS(G361="Electronics","P001", G361="MRO","P002", G361="Office Supplies","P003", G361="Packaging","P004", G361="Raw Materials","P005")</f>
        <v>P004</v>
      </c>
      <c r="C361" s="11">
        <v>303</v>
      </c>
      <c r="D361" s="11">
        <v>40.51</v>
      </c>
      <c r="E361" s="9">
        <v>0.98799999999999999</v>
      </c>
      <c r="F361" s="11" t="s">
        <v>5</v>
      </c>
      <c r="G361" s="16" t="s">
        <v>37</v>
      </c>
    </row>
    <row r="362" spans="1:7" x14ac:dyDescent="0.2">
      <c r="A362" s="7">
        <v>45249</v>
      </c>
      <c r="B362" s="13" t="str" cm="1">
        <f t="array" ref="B362">_xlfn.IFS(G362="Electronics","P001", G362="MRO","P002", G362="Office Supplies","P003", G362="Packaging","P004", G362="Raw Materials","P005")</f>
        <v>P005</v>
      </c>
      <c r="C362" s="8">
        <v>1725</v>
      </c>
      <c r="D362" s="8">
        <v>79.62</v>
      </c>
      <c r="E362" s="9">
        <v>0.95299999999999996</v>
      </c>
      <c r="F362" s="8" t="s">
        <v>5</v>
      </c>
      <c r="G362" s="15" t="s">
        <v>38</v>
      </c>
    </row>
    <row r="363" spans="1:7" x14ac:dyDescent="0.2">
      <c r="A363" s="10">
        <v>45222</v>
      </c>
      <c r="B363" s="14" t="str" cm="1">
        <f t="array" ref="B363">_xlfn.IFS(G363="Electronics","P001", G363="MRO","P002", G363="Office Supplies","P003", G363="Packaging","P004", G363="Raw Materials","P005")</f>
        <v>P005</v>
      </c>
      <c r="C363" s="11">
        <v>502</v>
      </c>
      <c r="D363" s="11">
        <v>20.65</v>
      </c>
      <c r="E363" s="9">
        <v>0.94299999999999995</v>
      </c>
      <c r="F363" s="11" t="s">
        <v>6</v>
      </c>
      <c r="G363" s="16" t="s">
        <v>38</v>
      </c>
    </row>
    <row r="364" spans="1:7" x14ac:dyDescent="0.2">
      <c r="A364" s="7">
        <v>44869</v>
      </c>
      <c r="B364" s="13" t="str" cm="1">
        <f t="array" ref="B364">_xlfn.IFS(G364="Electronics","P001", G364="MRO","P002", G364="Office Supplies","P003", G364="Packaging","P004", G364="Raw Materials","P005")</f>
        <v>P004</v>
      </c>
      <c r="C364" s="8">
        <v>1110</v>
      </c>
      <c r="D364" s="8">
        <v>80.03</v>
      </c>
      <c r="E364" s="9">
        <v>0.95299999999999996</v>
      </c>
      <c r="F364" s="8" t="s">
        <v>5</v>
      </c>
      <c r="G364" s="15" t="s">
        <v>37</v>
      </c>
    </row>
    <row r="365" spans="1:7" x14ac:dyDescent="0.2">
      <c r="A365" s="10">
        <v>45030</v>
      </c>
      <c r="B365" s="14" t="str" cm="1">
        <f t="array" ref="B365">_xlfn.IFS(G365="Electronics","P001", G365="MRO","P002", G365="Office Supplies","P003", G365="Packaging","P004", G365="Raw Materials","P005")</f>
        <v>P004</v>
      </c>
      <c r="C365" s="11">
        <v>1233</v>
      </c>
      <c r="D365" s="11">
        <v>20.57</v>
      </c>
      <c r="E365" s="9">
        <v>1.032</v>
      </c>
      <c r="F365" s="11" t="s">
        <v>5</v>
      </c>
      <c r="G365" s="16" t="s">
        <v>37</v>
      </c>
    </row>
    <row r="366" spans="1:7" x14ac:dyDescent="0.2">
      <c r="A366" s="7">
        <v>44885</v>
      </c>
      <c r="B366" s="13" t="str" cm="1">
        <f t="array" ref="B366">_xlfn.IFS(G366="Electronics","P001", G366="MRO","P002", G366="Office Supplies","P003", G366="Packaging","P004", G366="Raw Materials","P005")</f>
        <v>P003</v>
      </c>
      <c r="C366" s="8">
        <v>1064</v>
      </c>
      <c r="D366" s="8">
        <v>43.6</v>
      </c>
      <c r="E366" s="9">
        <v>0.95299999999999996</v>
      </c>
      <c r="F366" s="8" t="s">
        <v>5</v>
      </c>
      <c r="G366" s="15" t="s">
        <v>35</v>
      </c>
    </row>
    <row r="367" spans="1:7" x14ac:dyDescent="0.2">
      <c r="A367" s="10">
        <v>44636</v>
      </c>
      <c r="B367" s="13" t="str" cm="1">
        <f t="array" ref="B367">_xlfn.IFS(G367="Electronics","P001", G367="MRO","P002", G367="Office Supplies","P003", G367="Packaging","P004", G367="Raw Materials","P005")</f>
        <v>P004</v>
      </c>
      <c r="C367" s="11">
        <v>58</v>
      </c>
      <c r="D367" s="11">
        <v>76.55</v>
      </c>
      <c r="E367" s="9">
        <v>1.115</v>
      </c>
      <c r="F367" s="11" t="s">
        <v>5</v>
      </c>
      <c r="G367" s="16" t="s">
        <v>37</v>
      </c>
    </row>
    <row r="368" spans="1:7" x14ac:dyDescent="0.2">
      <c r="A368" s="7">
        <v>44571</v>
      </c>
      <c r="B368" s="14" t="str" cm="1">
        <f t="array" ref="B368">_xlfn.IFS(G368="Electronics","P001", G368="MRO","P002", G368="Office Supplies","P003", G368="Packaging","P004", G368="Raw Materials","P005")</f>
        <v>P002</v>
      </c>
      <c r="C368" s="8">
        <v>1306</v>
      </c>
      <c r="D368" s="8">
        <v>20.170000000000002</v>
      </c>
      <c r="E368" s="9">
        <v>0.999</v>
      </c>
      <c r="F368" s="8" t="s">
        <v>6</v>
      </c>
      <c r="G368" s="15" t="s">
        <v>36</v>
      </c>
    </row>
    <row r="369" spans="1:7" x14ac:dyDescent="0.2">
      <c r="A369" s="10">
        <v>45031</v>
      </c>
      <c r="B369" s="13" t="str" cm="1">
        <f t="array" ref="B369">_xlfn.IFS(G369="Electronics","P001", G369="MRO","P002", G369="Office Supplies","P003", G369="Packaging","P004", G369="Raw Materials","P005")</f>
        <v>P001</v>
      </c>
      <c r="C369" s="11">
        <v>1172</v>
      </c>
      <c r="D369" s="11">
        <v>29.28</v>
      </c>
      <c r="E369" s="9">
        <v>1.032</v>
      </c>
      <c r="F369" s="11" t="s">
        <v>6</v>
      </c>
      <c r="G369" s="16" t="s">
        <v>39</v>
      </c>
    </row>
    <row r="370" spans="1:7" x14ac:dyDescent="0.2">
      <c r="A370" s="7">
        <v>45198</v>
      </c>
      <c r="B370" s="14" t="str" cm="1">
        <f t="array" ref="B370">_xlfn.IFS(G370="Electronics","P001", G370="MRO","P002", G370="Office Supplies","P003", G370="Packaging","P004", G370="Raw Materials","P005")</f>
        <v>P004</v>
      </c>
      <c r="C370" s="8">
        <v>1732</v>
      </c>
      <c r="D370" s="8">
        <v>71.709999999999994</v>
      </c>
      <c r="E370" s="9">
        <v>0.98099999999999998</v>
      </c>
      <c r="F370" s="8" t="s">
        <v>5</v>
      </c>
      <c r="G370" s="15" t="s">
        <v>37</v>
      </c>
    </row>
    <row r="371" spans="1:7" x14ac:dyDescent="0.2">
      <c r="A371" s="10">
        <v>45138</v>
      </c>
      <c r="B371" s="13" t="str" cm="1">
        <f t="array" ref="B371">_xlfn.IFS(G371="Electronics","P001", G371="MRO","P002", G371="Office Supplies","P003", G371="Packaging","P004", G371="Raw Materials","P005")</f>
        <v>P005</v>
      </c>
      <c r="C371" s="11">
        <v>865</v>
      </c>
      <c r="D371" s="11">
        <v>71.59</v>
      </c>
      <c r="E371" s="9">
        <v>0.99199999999999999</v>
      </c>
      <c r="F371" s="11" t="s">
        <v>5</v>
      </c>
      <c r="G371" s="16" t="s">
        <v>38</v>
      </c>
    </row>
    <row r="372" spans="1:7" x14ac:dyDescent="0.2">
      <c r="A372" s="7">
        <v>44664</v>
      </c>
      <c r="B372" s="13" t="str" cm="1">
        <f t="array" ref="B372">_xlfn.IFS(G372="Electronics","P001", G372="MRO","P002", G372="Office Supplies","P003", G372="Packaging","P004", G372="Raw Materials","P005")</f>
        <v>P005</v>
      </c>
      <c r="C372" s="8">
        <v>257</v>
      </c>
      <c r="D372" s="8">
        <v>66.92</v>
      </c>
      <c r="E372" s="9">
        <v>1.032</v>
      </c>
      <c r="F372" s="8" t="s">
        <v>5</v>
      </c>
      <c r="G372" s="15" t="s">
        <v>38</v>
      </c>
    </row>
    <row r="373" spans="1:7" x14ac:dyDescent="0.2">
      <c r="A373" s="10">
        <v>44637</v>
      </c>
      <c r="B373" s="14" t="str" cm="1">
        <f t="array" ref="B373">_xlfn.IFS(G373="Electronics","P001", G373="MRO","P002", G373="Office Supplies","P003", G373="Packaging","P004", G373="Raw Materials","P005")</f>
        <v>P004</v>
      </c>
      <c r="C373" s="11">
        <v>1204</v>
      </c>
      <c r="D373" s="11">
        <v>67.59</v>
      </c>
      <c r="E373" s="9">
        <v>1.115</v>
      </c>
      <c r="F373" s="11" t="s">
        <v>5</v>
      </c>
      <c r="G373" s="16" t="s">
        <v>37</v>
      </c>
    </row>
    <row r="374" spans="1:7" x14ac:dyDescent="0.2">
      <c r="A374" s="7">
        <v>45112</v>
      </c>
      <c r="B374" s="13" t="str" cm="1">
        <f t="array" ref="B374">_xlfn.IFS(G374="Electronics","P001", G374="MRO","P002", G374="Office Supplies","P003", G374="Packaging","P004", G374="Raw Materials","P005")</f>
        <v>P001</v>
      </c>
      <c r="C374" s="8">
        <v>453</v>
      </c>
      <c r="D374" s="8">
        <v>60.18</v>
      </c>
      <c r="E374" s="9">
        <v>0.99199999999999999</v>
      </c>
      <c r="F374" s="8" t="s">
        <v>5</v>
      </c>
      <c r="G374" s="15" t="s">
        <v>39</v>
      </c>
    </row>
    <row r="375" spans="1:7" x14ac:dyDescent="0.2">
      <c r="A375" s="10">
        <v>44780</v>
      </c>
      <c r="B375" s="14" t="str" cm="1">
        <f t="array" ref="B375">_xlfn.IFS(G375="Electronics","P001", G375="MRO","P002", G375="Office Supplies","P003", G375="Packaging","P004", G375="Raw Materials","P005")</f>
        <v>P001</v>
      </c>
      <c r="C375" s="11">
        <v>201</v>
      </c>
      <c r="D375" s="11">
        <v>32.54</v>
      </c>
      <c r="E375" s="9">
        <v>0.96899999999999997</v>
      </c>
      <c r="F375" s="11" t="s">
        <v>5</v>
      </c>
      <c r="G375" s="16" t="s">
        <v>39</v>
      </c>
    </row>
    <row r="376" spans="1:7" x14ac:dyDescent="0.2">
      <c r="A376" s="7">
        <v>45080</v>
      </c>
      <c r="B376" s="13" t="str" cm="1">
        <f t="array" ref="B376">_xlfn.IFS(G376="Electronics","P001", G376="MRO","P002", G376="Office Supplies","P003", G376="Packaging","P004", G376="Raw Materials","P005")</f>
        <v>P003</v>
      </c>
      <c r="C376" s="8">
        <v>103</v>
      </c>
      <c r="D376" s="8">
        <v>42.88</v>
      </c>
      <c r="E376" s="9">
        <v>0.89100000000000001</v>
      </c>
      <c r="F376" s="8" t="s">
        <v>5</v>
      </c>
      <c r="G376" s="15" t="s">
        <v>35</v>
      </c>
    </row>
    <row r="377" spans="1:7" x14ac:dyDescent="0.2">
      <c r="A377" s="10">
        <v>44833</v>
      </c>
      <c r="B377" s="13" t="str" cm="1">
        <f t="array" ref="B377">_xlfn.IFS(G377="Electronics","P001", G377="MRO","P002", G377="Office Supplies","P003", G377="Packaging","P004", G377="Raw Materials","P005")</f>
        <v>P003</v>
      </c>
      <c r="C377" s="11">
        <v>1193</v>
      </c>
      <c r="D377" s="11">
        <v>27.09</v>
      </c>
      <c r="E377" s="9">
        <v>0.98099999999999998</v>
      </c>
      <c r="F377" s="11" t="s">
        <v>5</v>
      </c>
      <c r="G377" s="16" t="s">
        <v>35</v>
      </c>
    </row>
    <row r="378" spans="1:7" x14ac:dyDescent="0.2">
      <c r="A378" s="7">
        <v>44697</v>
      </c>
      <c r="B378" s="14" t="str" cm="1">
        <f t="array" ref="B378">_xlfn.IFS(G378="Electronics","P001", G378="MRO","P002", G378="Office Supplies","P003", G378="Packaging","P004", G378="Raw Materials","P005")</f>
        <v>P003</v>
      </c>
      <c r="C378" s="8">
        <v>1746</v>
      </c>
      <c r="D378" s="8">
        <v>89.81</v>
      </c>
      <c r="E378" s="9">
        <v>0.98799999999999999</v>
      </c>
      <c r="F378" s="8" t="s">
        <v>5</v>
      </c>
      <c r="G378" s="15" t="s">
        <v>35</v>
      </c>
    </row>
    <row r="379" spans="1:7" x14ac:dyDescent="0.2">
      <c r="A379" s="10">
        <v>44919</v>
      </c>
      <c r="B379" s="13" t="str" cm="1">
        <f t="array" ref="B379">_xlfn.IFS(G379="Electronics","P001", G379="MRO","P002", G379="Office Supplies","P003", G379="Packaging","P004", G379="Raw Materials","P005")</f>
        <v>P001</v>
      </c>
      <c r="C379" s="11">
        <v>1993</v>
      </c>
      <c r="D379" s="11">
        <v>59.36</v>
      </c>
      <c r="E379" s="9">
        <v>1.032</v>
      </c>
      <c r="F379" s="11" t="s">
        <v>5</v>
      </c>
      <c r="G379" s="16" t="s">
        <v>39</v>
      </c>
    </row>
    <row r="380" spans="1:7" x14ac:dyDescent="0.2">
      <c r="A380" s="7">
        <v>44632</v>
      </c>
      <c r="B380" s="14" t="str" cm="1">
        <f t="array" ref="B380">_xlfn.IFS(G380="Electronics","P001", G380="MRO","P002", G380="Office Supplies","P003", G380="Packaging","P004", G380="Raw Materials","P005")</f>
        <v>P005</v>
      </c>
      <c r="C380" s="8">
        <v>677</v>
      </c>
      <c r="D380" s="8">
        <v>43.11</v>
      </c>
      <c r="E380" s="9">
        <v>1.115</v>
      </c>
      <c r="F380" s="8" t="s">
        <v>6</v>
      </c>
      <c r="G380" s="15" t="s">
        <v>38</v>
      </c>
    </row>
    <row r="381" spans="1:7" x14ac:dyDescent="0.2">
      <c r="A381" s="10">
        <v>44812</v>
      </c>
      <c r="B381" s="13" t="str" cm="1">
        <f t="array" ref="B381">_xlfn.IFS(G381="Electronics","P001", G381="MRO","P002", G381="Office Supplies","P003", G381="Packaging","P004", G381="Raw Materials","P005")</f>
        <v>P003</v>
      </c>
      <c r="C381" s="11">
        <v>636</v>
      </c>
      <c r="D381" s="11">
        <v>49.23</v>
      </c>
      <c r="E381" s="9">
        <v>0.98099999999999998</v>
      </c>
      <c r="F381" s="11" t="s">
        <v>5</v>
      </c>
      <c r="G381" s="16" t="s">
        <v>35</v>
      </c>
    </row>
    <row r="382" spans="1:7" x14ac:dyDescent="0.2">
      <c r="A382" s="7">
        <v>44940</v>
      </c>
      <c r="B382" s="13" t="str" cm="1">
        <f t="array" ref="B382">_xlfn.IFS(G382="Electronics","P001", G382="MRO","P002", G382="Office Supplies","P003", G382="Packaging","P004", G382="Raw Materials","P005")</f>
        <v>P004</v>
      </c>
      <c r="C382" s="8">
        <v>1698</v>
      </c>
      <c r="D382" s="8">
        <v>98.73</v>
      </c>
      <c r="E382" s="9">
        <v>0.999</v>
      </c>
      <c r="F382" s="8" t="s">
        <v>5</v>
      </c>
      <c r="G382" s="15" t="s">
        <v>37</v>
      </c>
    </row>
    <row r="383" spans="1:7" x14ac:dyDescent="0.2">
      <c r="A383" s="10">
        <v>44853</v>
      </c>
      <c r="B383" s="14" t="str" cm="1">
        <f t="array" ref="B383">_xlfn.IFS(G383="Electronics","P001", G383="MRO","P002", G383="Office Supplies","P003", G383="Packaging","P004", G383="Raw Materials","P005")</f>
        <v>P003</v>
      </c>
      <c r="C383" s="11">
        <v>1493</v>
      </c>
      <c r="D383" s="11">
        <v>22.89</v>
      </c>
      <c r="E383" s="9">
        <v>0.94299999999999995</v>
      </c>
      <c r="F383" s="11" t="s">
        <v>5</v>
      </c>
      <c r="G383" s="16" t="s">
        <v>35</v>
      </c>
    </row>
    <row r="384" spans="1:7" x14ac:dyDescent="0.2">
      <c r="A384" s="7">
        <v>44723</v>
      </c>
      <c r="B384" s="13" t="str" cm="1">
        <f t="array" ref="B384">_xlfn.IFS(G384="Electronics","P001", G384="MRO","P002", G384="Office Supplies","P003", G384="Packaging","P004", G384="Raw Materials","P005")</f>
        <v>P004</v>
      </c>
      <c r="C384" s="8">
        <v>1495</v>
      </c>
      <c r="D384" s="8">
        <v>58.18</v>
      </c>
      <c r="E384" s="9">
        <v>0.89100000000000001</v>
      </c>
      <c r="F384" s="8" t="s">
        <v>5</v>
      </c>
      <c r="G384" s="15" t="s">
        <v>37</v>
      </c>
    </row>
    <row r="385" spans="1:7" x14ac:dyDescent="0.2">
      <c r="A385" s="10">
        <v>45010</v>
      </c>
      <c r="B385" s="14" t="str" cm="1">
        <f t="array" ref="B385">_xlfn.IFS(G385="Electronics","P001", G385="MRO","P002", G385="Office Supplies","P003", G385="Packaging","P004", G385="Raw Materials","P005")</f>
        <v>P004</v>
      </c>
      <c r="C385" s="11">
        <v>153</v>
      </c>
      <c r="D385" s="11">
        <v>52</v>
      </c>
      <c r="E385" s="9">
        <v>1.115</v>
      </c>
      <c r="F385" s="11" t="s">
        <v>5</v>
      </c>
      <c r="G385" s="16" t="s">
        <v>37</v>
      </c>
    </row>
    <row r="386" spans="1:7" x14ac:dyDescent="0.2">
      <c r="A386" s="7">
        <v>45118</v>
      </c>
      <c r="B386" s="13" t="str" cm="1">
        <f t="array" ref="B386">_xlfn.IFS(G386="Electronics","P001", G386="MRO","P002", G386="Office Supplies","P003", G386="Packaging","P004", G386="Raw Materials","P005")</f>
        <v>P005</v>
      </c>
      <c r="C386" s="8">
        <v>1925</v>
      </c>
      <c r="D386" s="8">
        <v>63.41</v>
      </c>
      <c r="E386" s="9">
        <v>0.99199999999999999</v>
      </c>
      <c r="F386" s="8" t="s">
        <v>5</v>
      </c>
      <c r="G386" s="15" t="s">
        <v>38</v>
      </c>
    </row>
    <row r="387" spans="1:7" x14ac:dyDescent="0.2">
      <c r="A387" s="10">
        <v>45282</v>
      </c>
      <c r="B387" s="13" t="str" cm="1">
        <f t="array" ref="B387">_xlfn.IFS(G387="Electronics","P001", G387="MRO","P002", G387="Office Supplies","P003", G387="Packaging","P004", G387="Raw Materials","P005")</f>
        <v>P004</v>
      </c>
      <c r="C387" s="11">
        <v>303</v>
      </c>
      <c r="D387" s="11">
        <v>11.42</v>
      </c>
      <c r="E387" s="9">
        <v>1.032</v>
      </c>
      <c r="F387" s="11" t="s">
        <v>6</v>
      </c>
      <c r="G387" s="16" t="s">
        <v>37</v>
      </c>
    </row>
    <row r="388" spans="1:7" x14ac:dyDescent="0.2">
      <c r="A388" s="7">
        <v>44871</v>
      </c>
      <c r="B388" s="14" t="str" cm="1">
        <f t="array" ref="B388">_xlfn.IFS(G388="Electronics","P001", G388="MRO","P002", G388="Office Supplies","P003", G388="Packaging","P004", G388="Raw Materials","P005")</f>
        <v>P003</v>
      </c>
      <c r="C388" s="8">
        <v>1300</v>
      </c>
      <c r="D388" s="8">
        <v>90.63</v>
      </c>
      <c r="E388" s="9">
        <v>0.95299999999999996</v>
      </c>
      <c r="F388" s="8" t="s">
        <v>5</v>
      </c>
      <c r="G388" s="15" t="s">
        <v>35</v>
      </c>
    </row>
    <row r="389" spans="1:7" x14ac:dyDescent="0.2">
      <c r="A389" s="10">
        <v>45188</v>
      </c>
      <c r="B389" s="13" t="str" cm="1">
        <f t="array" ref="B389">_xlfn.IFS(G389="Electronics","P001", G389="MRO","P002", G389="Office Supplies","P003", G389="Packaging","P004", G389="Raw Materials","P005")</f>
        <v>P005</v>
      </c>
      <c r="C389" s="11">
        <v>1185</v>
      </c>
      <c r="D389" s="11">
        <v>99.05</v>
      </c>
      <c r="E389" s="9">
        <v>0.98099999999999998</v>
      </c>
      <c r="F389" s="11" t="s">
        <v>5</v>
      </c>
      <c r="G389" s="16" t="s">
        <v>38</v>
      </c>
    </row>
    <row r="390" spans="1:7" x14ac:dyDescent="0.2">
      <c r="A390" s="7">
        <v>45231</v>
      </c>
      <c r="B390" s="14" t="str" cm="1">
        <f t="array" ref="B390">_xlfn.IFS(G390="Electronics","P001", G390="MRO","P002", G390="Office Supplies","P003", G390="Packaging","P004", G390="Raw Materials","P005")</f>
        <v>P005</v>
      </c>
      <c r="C390" s="8">
        <v>559</v>
      </c>
      <c r="D390" s="8">
        <v>57.98</v>
      </c>
      <c r="E390" s="9">
        <v>0.95299999999999996</v>
      </c>
      <c r="F390" s="8" t="s">
        <v>5</v>
      </c>
      <c r="G390" s="15" t="s">
        <v>38</v>
      </c>
    </row>
    <row r="391" spans="1:7" x14ac:dyDescent="0.2">
      <c r="A391" s="10">
        <v>45103</v>
      </c>
      <c r="B391" s="13" t="str" cm="1">
        <f t="array" ref="B391">_xlfn.IFS(G391="Electronics","P001", G391="MRO","P002", G391="Office Supplies","P003", G391="Packaging","P004", G391="Raw Materials","P005")</f>
        <v>P001</v>
      </c>
      <c r="C391" s="11">
        <v>1546</v>
      </c>
      <c r="D391" s="11">
        <v>78</v>
      </c>
      <c r="E391" s="9">
        <v>0.89100000000000001</v>
      </c>
      <c r="F391" s="11" t="s">
        <v>5</v>
      </c>
      <c r="G391" s="16" t="s">
        <v>39</v>
      </c>
    </row>
    <row r="392" spans="1:7" x14ac:dyDescent="0.2">
      <c r="A392" s="7">
        <v>44570</v>
      </c>
      <c r="B392" s="13" t="str" cm="1">
        <f t="array" ref="B392">_xlfn.IFS(G392="Electronics","P001", G392="MRO","P002", G392="Office Supplies","P003", G392="Packaging","P004", G392="Raw Materials","P005")</f>
        <v>P004</v>
      </c>
      <c r="C392" s="8">
        <v>148</v>
      </c>
      <c r="D392" s="8">
        <v>85.96</v>
      </c>
      <c r="E392" s="9">
        <v>0.999</v>
      </c>
      <c r="F392" s="8" t="s">
        <v>5</v>
      </c>
      <c r="G392" s="15" t="s">
        <v>37</v>
      </c>
    </row>
    <row r="393" spans="1:7" x14ac:dyDescent="0.2">
      <c r="A393" s="10">
        <v>45245</v>
      </c>
      <c r="B393" s="14" t="str" cm="1">
        <f t="array" ref="B393">_xlfn.IFS(G393="Electronics","P001", G393="MRO","P002", G393="Office Supplies","P003", G393="Packaging","P004", G393="Raw Materials","P005")</f>
        <v>P003</v>
      </c>
      <c r="C393" s="11">
        <v>202</v>
      </c>
      <c r="D393" s="11">
        <v>78.260000000000005</v>
      </c>
      <c r="E393" s="9">
        <v>0.95299999999999996</v>
      </c>
      <c r="F393" s="11" t="s">
        <v>6</v>
      </c>
      <c r="G393" s="16" t="s">
        <v>35</v>
      </c>
    </row>
    <row r="394" spans="1:7" x14ac:dyDescent="0.2">
      <c r="A394" s="7">
        <v>45129</v>
      </c>
      <c r="B394" s="13" t="str" cm="1">
        <f t="array" ref="B394">_xlfn.IFS(G394="Electronics","P001", G394="MRO","P002", G394="Office Supplies","P003", G394="Packaging","P004", G394="Raw Materials","P005")</f>
        <v>P004</v>
      </c>
      <c r="C394" s="8">
        <v>1934</v>
      </c>
      <c r="D394" s="8">
        <v>25.6</v>
      </c>
      <c r="E394" s="9">
        <v>0.99199999999999999</v>
      </c>
      <c r="F394" s="8" t="s">
        <v>5</v>
      </c>
      <c r="G394" s="15" t="s">
        <v>37</v>
      </c>
    </row>
    <row r="395" spans="1:7" x14ac:dyDescent="0.2">
      <c r="A395" s="10">
        <v>44868</v>
      </c>
      <c r="B395" s="14" t="str" cm="1">
        <f t="array" ref="B395">_xlfn.IFS(G395="Electronics","P001", G395="MRO","P002", G395="Office Supplies","P003", G395="Packaging","P004", G395="Raw Materials","P005")</f>
        <v>P003</v>
      </c>
      <c r="C395" s="11">
        <v>963</v>
      </c>
      <c r="D395" s="11">
        <v>64.069999999999993</v>
      </c>
      <c r="E395" s="9">
        <v>0.95299999999999996</v>
      </c>
      <c r="F395" s="11" t="s">
        <v>5</v>
      </c>
      <c r="G395" s="16" t="s">
        <v>35</v>
      </c>
    </row>
    <row r="396" spans="1:7" x14ac:dyDescent="0.2">
      <c r="A396" s="7">
        <v>45241</v>
      </c>
      <c r="B396" s="13" t="str" cm="1">
        <f t="array" ref="B396">_xlfn.IFS(G396="Electronics","P001", G396="MRO","P002", G396="Office Supplies","P003", G396="Packaging","P004", G396="Raw Materials","P005")</f>
        <v>P002</v>
      </c>
      <c r="C396" s="8">
        <v>1969</v>
      </c>
      <c r="D396" s="8">
        <v>61.96</v>
      </c>
      <c r="E396" s="9">
        <v>0.95299999999999996</v>
      </c>
      <c r="F396" s="8" t="s">
        <v>5</v>
      </c>
      <c r="G396" s="15" t="s">
        <v>36</v>
      </c>
    </row>
    <row r="397" spans="1:7" x14ac:dyDescent="0.2">
      <c r="A397" s="10">
        <v>44668</v>
      </c>
      <c r="B397" s="13" t="str" cm="1">
        <f t="array" ref="B397">_xlfn.IFS(G397="Electronics","P001", G397="MRO","P002", G397="Office Supplies","P003", G397="Packaging","P004", G397="Raw Materials","P005")</f>
        <v>P001</v>
      </c>
      <c r="C397" s="11">
        <v>927</v>
      </c>
      <c r="D397" s="11">
        <v>46.05</v>
      </c>
      <c r="E397" s="9">
        <v>1.032</v>
      </c>
      <c r="F397" s="11" t="s">
        <v>5</v>
      </c>
      <c r="G397" s="16" t="s">
        <v>39</v>
      </c>
    </row>
    <row r="398" spans="1:7" x14ac:dyDescent="0.2">
      <c r="A398" s="7">
        <v>44699</v>
      </c>
      <c r="B398" s="14" t="str" cm="1">
        <f t="array" ref="B398">_xlfn.IFS(G398="Electronics","P001", G398="MRO","P002", G398="Office Supplies","P003", G398="Packaging","P004", G398="Raw Materials","P005")</f>
        <v>P005</v>
      </c>
      <c r="C398" s="8">
        <v>387</v>
      </c>
      <c r="D398" s="8">
        <v>69.040000000000006</v>
      </c>
      <c r="E398" s="9">
        <v>0.98799999999999999</v>
      </c>
      <c r="F398" s="8" t="s">
        <v>5</v>
      </c>
      <c r="G398" s="15" t="s">
        <v>38</v>
      </c>
    </row>
    <row r="399" spans="1:7" x14ac:dyDescent="0.2">
      <c r="A399" s="10">
        <v>44832</v>
      </c>
      <c r="B399" s="13" t="str" cm="1">
        <f t="array" ref="B399">_xlfn.IFS(G399="Electronics","P001", G399="MRO","P002", G399="Office Supplies","P003", G399="Packaging","P004", G399="Raw Materials","P005")</f>
        <v>P001</v>
      </c>
      <c r="C399" s="11">
        <v>1779</v>
      </c>
      <c r="D399" s="11">
        <v>94.36</v>
      </c>
      <c r="E399" s="9">
        <v>0.98099999999999998</v>
      </c>
      <c r="F399" s="11" t="s">
        <v>5</v>
      </c>
      <c r="G399" s="16" t="s">
        <v>39</v>
      </c>
    </row>
    <row r="400" spans="1:7" x14ac:dyDescent="0.2">
      <c r="A400" s="7">
        <v>44680</v>
      </c>
      <c r="B400" s="14" t="str" cm="1">
        <f t="array" ref="B400">_xlfn.IFS(G400="Electronics","P001", G400="MRO","P002", G400="Office Supplies","P003", G400="Packaging","P004", G400="Raw Materials","P005")</f>
        <v>P002</v>
      </c>
      <c r="C400" s="8">
        <v>871</v>
      </c>
      <c r="D400" s="8">
        <v>92.66</v>
      </c>
      <c r="E400" s="9">
        <v>1.032</v>
      </c>
      <c r="F400" s="8" t="s">
        <v>5</v>
      </c>
      <c r="G400" s="15" t="s">
        <v>36</v>
      </c>
    </row>
    <row r="401" spans="1:7" x14ac:dyDescent="0.2">
      <c r="A401" s="10">
        <v>44671</v>
      </c>
      <c r="B401" s="13" t="str" cm="1">
        <f t="array" ref="B401">_xlfn.IFS(G401="Electronics","P001", G401="MRO","P002", G401="Office Supplies","P003", G401="Packaging","P004", G401="Raw Materials","P005")</f>
        <v>P001</v>
      </c>
      <c r="C401" s="11">
        <v>1236</v>
      </c>
      <c r="D401" s="11">
        <v>44.03</v>
      </c>
      <c r="E401" s="9">
        <v>1.032</v>
      </c>
      <c r="F401" s="11" t="s">
        <v>5</v>
      </c>
      <c r="G401" s="16" t="s">
        <v>39</v>
      </c>
    </row>
    <row r="402" spans="1:7" x14ac:dyDescent="0.2">
      <c r="A402" s="7">
        <v>45128</v>
      </c>
      <c r="B402" s="13" t="str" cm="1">
        <f t="array" ref="B402">_xlfn.IFS(G402="Electronics","P001", G402="MRO","P002", G402="Office Supplies","P003", G402="Packaging","P004", G402="Raw Materials","P005")</f>
        <v>P001</v>
      </c>
      <c r="C402" s="8">
        <v>1793</v>
      </c>
      <c r="D402" s="8">
        <v>21.78</v>
      </c>
      <c r="E402" s="9">
        <v>0.99199999999999999</v>
      </c>
      <c r="F402" s="8" t="s">
        <v>5</v>
      </c>
      <c r="G402" s="15" t="s">
        <v>39</v>
      </c>
    </row>
    <row r="403" spans="1:7" x14ac:dyDescent="0.2">
      <c r="A403" s="10">
        <v>44721</v>
      </c>
      <c r="B403" s="14" t="str" cm="1">
        <f t="array" ref="B403">_xlfn.IFS(G403="Electronics","P001", G403="MRO","P002", G403="Office Supplies","P003", G403="Packaging","P004", G403="Raw Materials","P005")</f>
        <v>P002</v>
      </c>
      <c r="C403" s="11">
        <v>1006</v>
      </c>
      <c r="D403" s="11">
        <v>89.04</v>
      </c>
      <c r="E403" s="9">
        <v>0.89100000000000001</v>
      </c>
      <c r="F403" s="11" t="s">
        <v>5</v>
      </c>
      <c r="G403" s="16" t="s">
        <v>36</v>
      </c>
    </row>
    <row r="404" spans="1:7" x14ac:dyDescent="0.2">
      <c r="A404" s="7">
        <v>44840</v>
      </c>
      <c r="B404" s="13" t="str" cm="1">
        <f t="array" ref="B404">_xlfn.IFS(G404="Electronics","P001", G404="MRO","P002", G404="Office Supplies","P003", G404="Packaging","P004", G404="Raw Materials","P005")</f>
        <v>P001</v>
      </c>
      <c r="C404" s="8">
        <v>1754</v>
      </c>
      <c r="D404" s="8">
        <v>86.54</v>
      </c>
      <c r="E404" s="9">
        <v>0.94299999999999995</v>
      </c>
      <c r="F404" s="8" t="s">
        <v>6</v>
      </c>
      <c r="G404" s="15" t="s">
        <v>39</v>
      </c>
    </row>
    <row r="405" spans="1:7" x14ac:dyDescent="0.2">
      <c r="A405" s="10">
        <v>44850</v>
      </c>
      <c r="B405" s="14" t="str" cm="1">
        <f t="array" ref="B405">_xlfn.IFS(G405="Electronics","P001", G405="MRO","P002", G405="Office Supplies","P003", G405="Packaging","P004", G405="Raw Materials","P005")</f>
        <v>P001</v>
      </c>
      <c r="C405" s="11">
        <v>210</v>
      </c>
      <c r="D405" s="11">
        <v>21.32</v>
      </c>
      <c r="E405" s="9">
        <v>0.94299999999999995</v>
      </c>
      <c r="F405" s="11" t="s">
        <v>5</v>
      </c>
      <c r="G405" s="16" t="s">
        <v>39</v>
      </c>
    </row>
    <row r="406" spans="1:7" x14ac:dyDescent="0.2">
      <c r="A406" s="7">
        <v>45181</v>
      </c>
      <c r="B406" s="13" t="str" cm="1">
        <f t="array" ref="B406">_xlfn.IFS(G406="Electronics","P001", G406="MRO","P002", G406="Office Supplies","P003", G406="Packaging","P004", G406="Raw Materials","P005")</f>
        <v>P002</v>
      </c>
      <c r="C406" s="8">
        <v>1653</v>
      </c>
      <c r="D406" s="8">
        <v>91.91</v>
      </c>
      <c r="E406" s="9">
        <v>0.98099999999999998</v>
      </c>
      <c r="F406" s="8" t="s">
        <v>5</v>
      </c>
      <c r="G406" s="15" t="s">
        <v>36</v>
      </c>
    </row>
    <row r="407" spans="1:7" x14ac:dyDescent="0.2">
      <c r="A407" s="10">
        <v>44777</v>
      </c>
      <c r="B407" s="13" t="str" cm="1">
        <f t="array" ref="B407">_xlfn.IFS(G407="Electronics","P001", G407="MRO","P002", G407="Office Supplies","P003", G407="Packaging","P004", G407="Raw Materials","P005")</f>
        <v>P002</v>
      </c>
      <c r="C407" s="11">
        <v>850</v>
      </c>
      <c r="D407" s="11">
        <v>88.41</v>
      </c>
      <c r="E407" s="9">
        <v>0.96899999999999997</v>
      </c>
      <c r="F407" s="11" t="s">
        <v>5</v>
      </c>
      <c r="G407" s="16" t="s">
        <v>36</v>
      </c>
    </row>
    <row r="408" spans="1:7" x14ac:dyDescent="0.2">
      <c r="A408" s="7">
        <v>44913</v>
      </c>
      <c r="B408" s="14" t="str" cm="1">
        <f t="array" ref="B408">_xlfn.IFS(G408="Electronics","P001", G408="MRO","P002", G408="Office Supplies","P003", G408="Packaging","P004", G408="Raw Materials","P005")</f>
        <v>P005</v>
      </c>
      <c r="C408" s="8">
        <v>447</v>
      </c>
      <c r="D408" s="8">
        <v>57.92</v>
      </c>
      <c r="E408" s="9">
        <v>1.032</v>
      </c>
      <c r="F408" s="8" t="s">
        <v>5</v>
      </c>
      <c r="G408" s="15" t="s">
        <v>38</v>
      </c>
    </row>
    <row r="409" spans="1:7" x14ac:dyDescent="0.2">
      <c r="A409" s="10">
        <v>44770</v>
      </c>
      <c r="B409" s="13" t="str" cm="1">
        <f t="array" ref="B409">_xlfn.IFS(G409="Electronics","P001", G409="MRO","P002", G409="Office Supplies","P003", G409="Packaging","P004", G409="Raw Materials","P005")</f>
        <v>P003</v>
      </c>
      <c r="C409" s="11">
        <v>1350</v>
      </c>
      <c r="D409" s="11">
        <v>56.95</v>
      </c>
      <c r="E409" s="9">
        <v>0.99199999999999999</v>
      </c>
      <c r="F409" s="11" t="s">
        <v>5</v>
      </c>
      <c r="G409" s="16" t="s">
        <v>35</v>
      </c>
    </row>
    <row r="410" spans="1:7" x14ac:dyDescent="0.2">
      <c r="A410" s="7">
        <v>45265</v>
      </c>
      <c r="B410" s="14" t="str" cm="1">
        <f t="array" ref="B410">_xlfn.IFS(G410="Electronics","P001", G410="MRO","P002", G410="Office Supplies","P003", G410="Packaging","P004", G410="Raw Materials","P005")</f>
        <v>P003</v>
      </c>
      <c r="C410" s="8">
        <v>865</v>
      </c>
      <c r="D410" s="8">
        <v>47.76</v>
      </c>
      <c r="E410" s="9">
        <v>1.032</v>
      </c>
      <c r="F410" s="8" t="s">
        <v>5</v>
      </c>
      <c r="G410" s="15" t="s">
        <v>35</v>
      </c>
    </row>
    <row r="411" spans="1:7" x14ac:dyDescent="0.2">
      <c r="A411" s="10">
        <v>45211</v>
      </c>
      <c r="B411" s="13" t="str" cm="1">
        <f t="array" ref="B411">_xlfn.IFS(G411="Electronics","P001", G411="MRO","P002", G411="Office Supplies","P003", G411="Packaging","P004", G411="Raw Materials","P005")</f>
        <v>P002</v>
      </c>
      <c r="C411" s="11">
        <v>1989</v>
      </c>
      <c r="D411" s="11">
        <v>15.89</v>
      </c>
      <c r="E411" s="9">
        <v>0.94299999999999995</v>
      </c>
      <c r="F411" s="11" t="s">
        <v>5</v>
      </c>
      <c r="G411" s="16" t="s">
        <v>36</v>
      </c>
    </row>
    <row r="412" spans="1:7" x14ac:dyDescent="0.2">
      <c r="A412" s="7">
        <v>44832</v>
      </c>
      <c r="B412" s="13" t="str" cm="1">
        <f t="array" ref="B412">_xlfn.IFS(G412="Electronics","P001", G412="MRO","P002", G412="Office Supplies","P003", G412="Packaging","P004", G412="Raw Materials","P005")</f>
        <v>P003</v>
      </c>
      <c r="C412" s="8">
        <v>1577</v>
      </c>
      <c r="D412" s="8">
        <v>39.58</v>
      </c>
      <c r="E412" s="9">
        <v>0.98099999999999998</v>
      </c>
      <c r="F412" s="8" t="s">
        <v>5</v>
      </c>
      <c r="G412" s="15" t="s">
        <v>35</v>
      </c>
    </row>
    <row r="413" spans="1:7" x14ac:dyDescent="0.2">
      <c r="A413" s="10">
        <v>45079</v>
      </c>
      <c r="B413" s="14" t="str" cm="1">
        <f t="array" ref="B413">_xlfn.IFS(G413="Electronics","P001", G413="MRO","P002", G413="Office Supplies","P003", G413="Packaging","P004", G413="Raw Materials","P005")</f>
        <v>P004</v>
      </c>
      <c r="C413" s="11">
        <v>1969</v>
      </c>
      <c r="D413" s="11">
        <v>87.28</v>
      </c>
      <c r="E413" s="9">
        <v>0.89100000000000001</v>
      </c>
      <c r="F413" s="11" t="s">
        <v>6</v>
      </c>
      <c r="G413" s="16" t="s">
        <v>37</v>
      </c>
    </row>
    <row r="414" spans="1:7" x14ac:dyDescent="0.2">
      <c r="A414" s="7">
        <v>45062</v>
      </c>
      <c r="B414" s="13" t="str" cm="1">
        <f t="array" ref="B414">_xlfn.IFS(G414="Electronics","P001", G414="MRO","P002", G414="Office Supplies","P003", G414="Packaging","P004", G414="Raw Materials","P005")</f>
        <v>P004</v>
      </c>
      <c r="C414" s="8">
        <v>1465</v>
      </c>
      <c r="D414" s="8">
        <v>9.61</v>
      </c>
      <c r="E414" s="9">
        <v>0.98799999999999999</v>
      </c>
      <c r="F414" s="8" t="s">
        <v>5</v>
      </c>
      <c r="G414" s="15" t="s">
        <v>37</v>
      </c>
    </row>
    <row r="415" spans="1:7" x14ac:dyDescent="0.2">
      <c r="A415" s="10">
        <v>44819</v>
      </c>
      <c r="B415" s="14" t="str" cm="1">
        <f t="array" ref="B415">_xlfn.IFS(G415="Electronics","P001", G415="MRO","P002", G415="Office Supplies","P003", G415="Packaging","P004", G415="Raw Materials","P005")</f>
        <v>P004</v>
      </c>
      <c r="C415" s="11">
        <v>1208</v>
      </c>
      <c r="D415" s="11">
        <v>39.46</v>
      </c>
      <c r="E415" s="9">
        <v>0.98099999999999998</v>
      </c>
      <c r="F415" s="11" t="s">
        <v>5</v>
      </c>
      <c r="G415" s="16" t="s">
        <v>37</v>
      </c>
    </row>
    <row r="416" spans="1:7" x14ac:dyDescent="0.2">
      <c r="A416" s="7">
        <v>44614</v>
      </c>
      <c r="B416" s="13" t="str" cm="1">
        <f t="array" ref="B416">_xlfn.IFS(G416="Electronics","P001", G416="MRO","P002", G416="Office Supplies","P003", G416="Packaging","P004", G416="Raw Materials","P005")</f>
        <v>P005</v>
      </c>
      <c r="C416" s="8">
        <v>1268</v>
      </c>
      <c r="D416" s="8">
        <v>45.26</v>
      </c>
      <c r="E416" s="9">
        <v>1.0920000000000001</v>
      </c>
      <c r="F416" s="8" t="s">
        <v>5</v>
      </c>
      <c r="G416" s="15" t="s">
        <v>38</v>
      </c>
    </row>
    <row r="417" spans="1:7" x14ac:dyDescent="0.2">
      <c r="A417" s="10">
        <v>44656</v>
      </c>
      <c r="B417" s="13" t="str" cm="1">
        <f t="array" ref="B417">_xlfn.IFS(G417="Electronics","P001", G417="MRO","P002", G417="Office Supplies","P003", G417="Packaging","P004", G417="Raw Materials","P005")</f>
        <v>P003</v>
      </c>
      <c r="C417" s="11">
        <v>450</v>
      </c>
      <c r="D417" s="11">
        <v>55.03</v>
      </c>
      <c r="E417" s="9">
        <v>1.032</v>
      </c>
      <c r="F417" s="11" t="s">
        <v>6</v>
      </c>
      <c r="G417" s="16" t="s">
        <v>35</v>
      </c>
    </row>
    <row r="418" spans="1:7" x14ac:dyDescent="0.2">
      <c r="A418" s="7">
        <v>45211</v>
      </c>
      <c r="B418" s="14" t="str" cm="1">
        <f t="array" ref="B418">_xlfn.IFS(G418="Electronics","P001", G418="MRO","P002", G418="Office Supplies","P003", G418="Packaging","P004", G418="Raw Materials","P005")</f>
        <v>P001</v>
      </c>
      <c r="C418" s="8">
        <v>689</v>
      </c>
      <c r="D418" s="8">
        <v>95.23</v>
      </c>
      <c r="E418" s="9">
        <v>0.94299999999999995</v>
      </c>
      <c r="F418" s="8" t="s">
        <v>5</v>
      </c>
      <c r="G418" s="15" t="s">
        <v>39</v>
      </c>
    </row>
    <row r="419" spans="1:7" x14ac:dyDescent="0.2">
      <c r="A419" s="10">
        <v>44995</v>
      </c>
      <c r="B419" s="13" t="str" cm="1">
        <f t="array" ref="B419">_xlfn.IFS(G419="Electronics","P001", G419="MRO","P002", G419="Office Supplies","P003", G419="Packaging","P004", G419="Raw Materials","P005")</f>
        <v>P002</v>
      </c>
      <c r="C419" s="11">
        <v>1106</v>
      </c>
      <c r="D419" s="11">
        <v>38.6</v>
      </c>
      <c r="E419" s="9">
        <v>1.115</v>
      </c>
      <c r="F419" s="11" t="s">
        <v>5</v>
      </c>
      <c r="G419" s="16" t="s">
        <v>36</v>
      </c>
    </row>
    <row r="420" spans="1:7" x14ac:dyDescent="0.2">
      <c r="A420" s="7">
        <v>44845</v>
      </c>
      <c r="B420" s="14" t="str" cm="1">
        <f t="array" ref="B420">_xlfn.IFS(G420="Electronics","P001", G420="MRO","P002", G420="Office Supplies","P003", G420="Packaging","P004", G420="Raw Materials","P005")</f>
        <v>P003</v>
      </c>
      <c r="C420" s="8">
        <v>737</v>
      </c>
      <c r="D420" s="8">
        <v>42.58</v>
      </c>
      <c r="E420" s="9">
        <v>0.94299999999999995</v>
      </c>
      <c r="F420" s="8" t="s">
        <v>5</v>
      </c>
      <c r="G420" s="15" t="s">
        <v>35</v>
      </c>
    </row>
    <row r="421" spans="1:7" x14ac:dyDescent="0.2">
      <c r="A421" s="10">
        <v>44607</v>
      </c>
      <c r="B421" s="13" t="str" cm="1">
        <f t="array" ref="B421">_xlfn.IFS(G421="Electronics","P001", G421="MRO","P002", G421="Office Supplies","P003", G421="Packaging","P004", G421="Raw Materials","P005")</f>
        <v>P005</v>
      </c>
      <c r="C421" s="11">
        <v>509</v>
      </c>
      <c r="D421" s="11">
        <v>74.72</v>
      </c>
      <c r="E421" s="9">
        <v>1.0920000000000001</v>
      </c>
      <c r="F421" s="11" t="s">
        <v>6</v>
      </c>
      <c r="G421" s="16" t="s">
        <v>38</v>
      </c>
    </row>
    <row r="422" spans="1:7" x14ac:dyDescent="0.2">
      <c r="A422" s="7">
        <v>44565</v>
      </c>
      <c r="B422" s="13" t="str" cm="1">
        <f t="array" ref="B422">_xlfn.IFS(G422="Electronics","P001", G422="MRO","P002", G422="Office Supplies","P003", G422="Packaging","P004", G422="Raw Materials","P005")</f>
        <v>P001</v>
      </c>
      <c r="C422" s="8">
        <v>1004</v>
      </c>
      <c r="D422" s="8">
        <v>46.59</v>
      </c>
      <c r="E422" s="9">
        <v>0.999</v>
      </c>
      <c r="F422" s="8" t="s">
        <v>5</v>
      </c>
      <c r="G422" s="15" t="s">
        <v>39</v>
      </c>
    </row>
    <row r="423" spans="1:7" x14ac:dyDescent="0.2">
      <c r="A423" s="10">
        <v>44903</v>
      </c>
      <c r="B423" s="14" t="str" cm="1">
        <f t="array" ref="B423">_xlfn.IFS(G423="Electronics","P001", G423="MRO","P002", G423="Office Supplies","P003", G423="Packaging","P004", G423="Raw Materials","P005")</f>
        <v>P002</v>
      </c>
      <c r="C423" s="11">
        <v>1956</v>
      </c>
      <c r="D423" s="11">
        <v>28.48</v>
      </c>
      <c r="E423" s="9">
        <v>1.032</v>
      </c>
      <c r="F423" s="11" t="s">
        <v>5</v>
      </c>
      <c r="G423" s="16" t="s">
        <v>36</v>
      </c>
    </row>
    <row r="424" spans="1:7" x14ac:dyDescent="0.2">
      <c r="A424" s="7">
        <v>44695</v>
      </c>
      <c r="B424" s="13" t="str" cm="1">
        <f t="array" ref="B424">_xlfn.IFS(G424="Electronics","P001", G424="MRO","P002", G424="Office Supplies","P003", G424="Packaging","P004", G424="Raw Materials","P005")</f>
        <v>P001</v>
      </c>
      <c r="C424" s="8">
        <v>519</v>
      </c>
      <c r="D424" s="8">
        <v>47.52</v>
      </c>
      <c r="E424" s="9">
        <v>0.98799999999999999</v>
      </c>
      <c r="F424" s="8" t="s">
        <v>6</v>
      </c>
      <c r="G424" s="15" t="s">
        <v>39</v>
      </c>
    </row>
    <row r="425" spans="1:7" x14ac:dyDescent="0.2">
      <c r="A425" s="10">
        <v>45214</v>
      </c>
      <c r="B425" s="14" t="str" cm="1">
        <f t="array" ref="B425">_xlfn.IFS(G425="Electronics","P001", G425="MRO","P002", G425="Office Supplies","P003", G425="Packaging","P004", G425="Raw Materials","P005")</f>
        <v>P002</v>
      </c>
      <c r="C425" s="11">
        <v>1448</v>
      </c>
      <c r="D425" s="11">
        <v>21.62</v>
      </c>
      <c r="E425" s="9">
        <v>0.94299999999999995</v>
      </c>
      <c r="F425" s="11" t="s">
        <v>5</v>
      </c>
      <c r="G425" s="16" t="s">
        <v>36</v>
      </c>
    </row>
    <row r="426" spans="1:7" x14ac:dyDescent="0.2">
      <c r="A426" s="7">
        <v>44830</v>
      </c>
      <c r="B426" s="13" t="str" cm="1">
        <f t="array" ref="B426">_xlfn.IFS(G426="Electronics","P001", G426="MRO","P002", G426="Office Supplies","P003", G426="Packaging","P004", G426="Raw Materials","P005")</f>
        <v>P004</v>
      </c>
      <c r="C426" s="8">
        <v>1095</v>
      </c>
      <c r="D426" s="8">
        <v>23.75</v>
      </c>
      <c r="E426" s="9">
        <v>0.98099999999999998</v>
      </c>
      <c r="F426" s="8" t="s">
        <v>5</v>
      </c>
      <c r="G426" s="15" t="s">
        <v>37</v>
      </c>
    </row>
    <row r="427" spans="1:7" x14ac:dyDescent="0.2">
      <c r="A427" s="10">
        <v>44727</v>
      </c>
      <c r="B427" s="13" t="str" cm="1">
        <f t="array" ref="B427">_xlfn.IFS(G427="Electronics","P001", G427="MRO","P002", G427="Office Supplies","P003", G427="Packaging","P004", G427="Raw Materials","P005")</f>
        <v>P002</v>
      </c>
      <c r="C427" s="11">
        <v>799</v>
      </c>
      <c r="D427" s="11">
        <v>49.51</v>
      </c>
      <c r="E427" s="9">
        <v>0.89100000000000001</v>
      </c>
      <c r="F427" s="11" t="s">
        <v>5</v>
      </c>
      <c r="G427" s="16" t="s">
        <v>36</v>
      </c>
    </row>
    <row r="428" spans="1:7" x14ac:dyDescent="0.2">
      <c r="A428" s="7">
        <v>45014</v>
      </c>
      <c r="B428" s="14" t="str" cm="1">
        <f t="array" ref="B428">_xlfn.IFS(G428="Electronics","P001", G428="MRO","P002", G428="Office Supplies","P003", G428="Packaging","P004", G428="Raw Materials","P005")</f>
        <v>P002</v>
      </c>
      <c r="C428" s="8">
        <v>1743</v>
      </c>
      <c r="D428" s="8">
        <v>47.15</v>
      </c>
      <c r="E428" s="9">
        <v>1.115</v>
      </c>
      <c r="F428" s="8" t="s">
        <v>5</v>
      </c>
      <c r="G428" s="15" t="s">
        <v>36</v>
      </c>
    </row>
    <row r="429" spans="1:7" x14ac:dyDescent="0.2">
      <c r="A429" s="10">
        <v>45126</v>
      </c>
      <c r="B429" s="13" t="str" cm="1">
        <f t="array" ref="B429">_xlfn.IFS(G429="Electronics","P001", G429="MRO","P002", G429="Office Supplies","P003", G429="Packaging","P004", G429="Raw Materials","P005")</f>
        <v>P005</v>
      </c>
      <c r="C429" s="11">
        <v>87</v>
      </c>
      <c r="D429" s="11">
        <v>85.56</v>
      </c>
      <c r="E429" s="9">
        <v>0.99199999999999999</v>
      </c>
      <c r="F429" s="11" t="s">
        <v>5</v>
      </c>
      <c r="G429" s="16" t="s">
        <v>38</v>
      </c>
    </row>
    <row r="430" spans="1:7" x14ac:dyDescent="0.2">
      <c r="A430" s="7">
        <v>45284</v>
      </c>
      <c r="B430" s="14" t="str" cm="1">
        <f t="array" ref="B430">_xlfn.IFS(G430="Electronics","P001", G430="MRO","P002", G430="Office Supplies","P003", G430="Packaging","P004", G430="Raw Materials","P005")</f>
        <v>P005</v>
      </c>
      <c r="C430" s="8">
        <v>279</v>
      </c>
      <c r="D430" s="8">
        <v>46.5</v>
      </c>
      <c r="E430" s="9">
        <v>1.032</v>
      </c>
      <c r="F430" s="8" t="s">
        <v>6</v>
      </c>
      <c r="G430" s="15" t="s">
        <v>38</v>
      </c>
    </row>
    <row r="431" spans="1:7" x14ac:dyDescent="0.2">
      <c r="A431" s="10">
        <v>44999</v>
      </c>
      <c r="B431" s="13" t="str" cm="1">
        <f t="array" ref="B431">_xlfn.IFS(G431="Electronics","P001", G431="MRO","P002", G431="Office Supplies","P003", G431="Packaging","P004", G431="Raw Materials","P005")</f>
        <v>P005</v>
      </c>
      <c r="C431" s="11">
        <v>1438</v>
      </c>
      <c r="D431" s="11">
        <v>58.5</v>
      </c>
      <c r="E431" s="9">
        <v>1.115</v>
      </c>
      <c r="F431" s="11" t="s">
        <v>5</v>
      </c>
      <c r="G431" s="16" t="s">
        <v>38</v>
      </c>
    </row>
    <row r="432" spans="1:7" x14ac:dyDescent="0.2">
      <c r="A432" s="7">
        <v>45136</v>
      </c>
      <c r="B432" s="13" t="str" cm="1">
        <f t="array" ref="B432">_xlfn.IFS(G432="Electronics","P001", G432="MRO","P002", G432="Office Supplies","P003", G432="Packaging","P004", G432="Raw Materials","P005")</f>
        <v>P003</v>
      </c>
      <c r="C432" s="8">
        <v>612</v>
      </c>
      <c r="D432" s="8">
        <v>63.32</v>
      </c>
      <c r="E432" s="9">
        <v>0.99199999999999999</v>
      </c>
      <c r="F432" s="8" t="s">
        <v>5</v>
      </c>
      <c r="G432" s="15" t="s">
        <v>35</v>
      </c>
    </row>
    <row r="433" spans="1:7" x14ac:dyDescent="0.2">
      <c r="A433" s="10">
        <v>44571</v>
      </c>
      <c r="B433" s="14" t="str" cm="1">
        <f t="array" ref="B433">_xlfn.IFS(G433="Electronics","P001", G433="MRO","P002", G433="Office Supplies","P003", G433="Packaging","P004", G433="Raw Materials","P005")</f>
        <v>P004</v>
      </c>
      <c r="C433" s="11">
        <v>487</v>
      </c>
      <c r="D433" s="11">
        <v>10.63</v>
      </c>
      <c r="E433" s="9">
        <v>0.999</v>
      </c>
      <c r="F433" s="11" t="s">
        <v>5</v>
      </c>
      <c r="G433" s="16" t="s">
        <v>37</v>
      </c>
    </row>
    <row r="434" spans="1:7" x14ac:dyDescent="0.2">
      <c r="A434" s="7">
        <v>44676</v>
      </c>
      <c r="B434" s="13" t="str" cm="1">
        <f t="array" ref="B434">_xlfn.IFS(G434="Electronics","P001", G434="MRO","P002", G434="Office Supplies","P003", G434="Packaging","P004", G434="Raw Materials","P005")</f>
        <v>P004</v>
      </c>
      <c r="C434" s="8">
        <v>1849</v>
      </c>
      <c r="D434" s="8">
        <v>69.25</v>
      </c>
      <c r="E434" s="9">
        <v>1.032</v>
      </c>
      <c r="F434" s="8" t="s">
        <v>5</v>
      </c>
      <c r="G434" s="15" t="s">
        <v>37</v>
      </c>
    </row>
    <row r="435" spans="1:7" x14ac:dyDescent="0.2">
      <c r="A435" s="10">
        <v>44639</v>
      </c>
      <c r="B435" s="14" t="str" cm="1">
        <f t="array" ref="B435">_xlfn.IFS(G435="Electronics","P001", G435="MRO","P002", G435="Office Supplies","P003", G435="Packaging","P004", G435="Raw Materials","P005")</f>
        <v>P002</v>
      </c>
      <c r="C435" s="11">
        <v>1356</v>
      </c>
      <c r="D435" s="11">
        <v>25.44</v>
      </c>
      <c r="E435" s="9">
        <v>1.115</v>
      </c>
      <c r="F435" s="11" t="s">
        <v>5</v>
      </c>
      <c r="G435" s="16" t="s">
        <v>36</v>
      </c>
    </row>
    <row r="436" spans="1:7" x14ac:dyDescent="0.2">
      <c r="A436" s="7">
        <v>45269</v>
      </c>
      <c r="B436" s="13" t="str" cm="1">
        <f t="array" ref="B436">_xlfn.IFS(G436="Electronics","P001", G436="MRO","P002", G436="Office Supplies","P003", G436="Packaging","P004", G436="Raw Materials","P005")</f>
        <v>P005</v>
      </c>
      <c r="C436" s="8">
        <v>76</v>
      </c>
      <c r="D436" s="8">
        <v>96.33</v>
      </c>
      <c r="E436" s="9">
        <v>1.032</v>
      </c>
      <c r="F436" s="8" t="s">
        <v>5</v>
      </c>
      <c r="G436" s="15" t="s">
        <v>38</v>
      </c>
    </row>
    <row r="437" spans="1:7" x14ac:dyDescent="0.2">
      <c r="A437" s="10">
        <v>44714</v>
      </c>
      <c r="B437" s="13" t="str" cm="1">
        <f t="array" ref="B437">_xlfn.IFS(G437="Electronics","P001", G437="MRO","P002", G437="Office Supplies","P003", G437="Packaging","P004", G437="Raw Materials","P005")</f>
        <v>P004</v>
      </c>
      <c r="C437" s="11">
        <v>275</v>
      </c>
      <c r="D437" s="11">
        <v>20.440000000000001</v>
      </c>
      <c r="E437" s="9">
        <v>0.89100000000000001</v>
      </c>
      <c r="F437" s="11" t="s">
        <v>5</v>
      </c>
      <c r="G437" s="16" t="s">
        <v>37</v>
      </c>
    </row>
    <row r="438" spans="1:7" x14ac:dyDescent="0.2">
      <c r="A438" s="7">
        <v>45120</v>
      </c>
      <c r="B438" s="14" t="str" cm="1">
        <f t="array" ref="B438">_xlfn.IFS(G438="Electronics","P001", G438="MRO","P002", G438="Office Supplies","P003", G438="Packaging","P004", G438="Raw Materials","P005")</f>
        <v>P004</v>
      </c>
      <c r="C438" s="8">
        <v>1350</v>
      </c>
      <c r="D438" s="8">
        <v>48.07</v>
      </c>
      <c r="E438" s="9">
        <v>0.99199999999999999</v>
      </c>
      <c r="F438" s="8" t="s">
        <v>5</v>
      </c>
      <c r="G438" s="15" t="s">
        <v>37</v>
      </c>
    </row>
    <row r="439" spans="1:7" x14ac:dyDescent="0.2">
      <c r="A439" s="10">
        <v>44598</v>
      </c>
      <c r="B439" s="13" t="str" cm="1">
        <f t="array" ref="B439">_xlfn.IFS(G439="Electronics","P001", G439="MRO","P002", G439="Office Supplies","P003", G439="Packaging","P004", G439="Raw Materials","P005")</f>
        <v>P002</v>
      </c>
      <c r="C439" s="11">
        <v>847</v>
      </c>
      <c r="D439" s="11">
        <v>17.39</v>
      </c>
      <c r="E439" s="9">
        <v>1.0920000000000001</v>
      </c>
      <c r="F439" s="11" t="s">
        <v>5</v>
      </c>
      <c r="G439" s="16" t="s">
        <v>36</v>
      </c>
    </row>
    <row r="440" spans="1:7" x14ac:dyDescent="0.2">
      <c r="A440" s="7">
        <v>44940</v>
      </c>
      <c r="B440" s="14" t="str" cm="1">
        <f t="array" ref="B440">_xlfn.IFS(G440="Electronics","P001", G440="MRO","P002", G440="Office Supplies","P003", G440="Packaging","P004", G440="Raw Materials","P005")</f>
        <v>P002</v>
      </c>
      <c r="C440" s="8">
        <v>1682</v>
      </c>
      <c r="D440" s="8">
        <v>101.3</v>
      </c>
      <c r="E440" s="9">
        <v>0.999</v>
      </c>
      <c r="F440" s="8" t="s">
        <v>5</v>
      </c>
      <c r="G440" s="15" t="s">
        <v>36</v>
      </c>
    </row>
    <row r="441" spans="1:7" x14ac:dyDescent="0.2">
      <c r="A441" s="10">
        <v>45158</v>
      </c>
      <c r="B441" s="13" t="str" cm="1">
        <f t="array" ref="B441">_xlfn.IFS(G441="Electronics","P001", G441="MRO","P002", G441="Office Supplies","P003", G441="Packaging","P004", G441="Raw Materials","P005")</f>
        <v>P001</v>
      </c>
      <c r="C441" s="11">
        <v>333</v>
      </c>
      <c r="D441" s="11">
        <v>58.54</v>
      </c>
      <c r="E441" s="9">
        <v>0.96899999999999997</v>
      </c>
      <c r="F441" s="11" t="s">
        <v>5</v>
      </c>
      <c r="G441" s="16" t="s">
        <v>39</v>
      </c>
    </row>
    <row r="442" spans="1:7" x14ac:dyDescent="0.2">
      <c r="A442" s="7">
        <v>45127</v>
      </c>
      <c r="B442" s="13" t="str" cm="1">
        <f t="array" ref="B442">_xlfn.IFS(G442="Electronics","P001", G442="MRO","P002", G442="Office Supplies","P003", G442="Packaging","P004", G442="Raw Materials","P005")</f>
        <v>P001</v>
      </c>
      <c r="C442" s="8">
        <v>928</v>
      </c>
      <c r="D442" s="8">
        <v>67.260000000000005</v>
      </c>
      <c r="E442" s="9">
        <v>0.99199999999999999</v>
      </c>
      <c r="F442" s="8" t="s">
        <v>5</v>
      </c>
      <c r="G442" s="15" t="s">
        <v>39</v>
      </c>
    </row>
    <row r="443" spans="1:7" x14ac:dyDescent="0.2">
      <c r="A443" s="10">
        <v>44713</v>
      </c>
      <c r="B443" s="14" t="str" cm="1">
        <f t="array" ref="B443">_xlfn.IFS(G443="Electronics","P001", G443="MRO","P002", G443="Office Supplies","P003", G443="Packaging","P004", G443="Raw Materials","P005")</f>
        <v>P002</v>
      </c>
      <c r="C443" s="11">
        <v>1009</v>
      </c>
      <c r="D443" s="11">
        <v>16.18</v>
      </c>
      <c r="E443" s="9">
        <v>0.89100000000000001</v>
      </c>
      <c r="F443" s="11" t="s">
        <v>5</v>
      </c>
      <c r="G443" s="16" t="s">
        <v>36</v>
      </c>
    </row>
    <row r="444" spans="1:7" x14ac:dyDescent="0.2">
      <c r="A444" s="7">
        <v>45002</v>
      </c>
      <c r="B444" s="13" t="str" cm="1">
        <f t="array" ref="B444">_xlfn.IFS(G444="Electronics","P001", G444="MRO","P002", G444="Office Supplies","P003", G444="Packaging","P004", G444="Raw Materials","P005")</f>
        <v>P001</v>
      </c>
      <c r="C444" s="8">
        <v>1554</v>
      </c>
      <c r="D444" s="8">
        <v>74.819999999999993</v>
      </c>
      <c r="E444" s="9">
        <v>1.115</v>
      </c>
      <c r="F444" s="8" t="s">
        <v>5</v>
      </c>
      <c r="G444" s="15" t="s">
        <v>39</v>
      </c>
    </row>
    <row r="445" spans="1:7" x14ac:dyDescent="0.2">
      <c r="A445" s="10">
        <v>44692</v>
      </c>
      <c r="B445" s="14" t="str" cm="1">
        <f t="array" ref="B445">_xlfn.IFS(G445="Electronics","P001", G445="MRO","P002", G445="Office Supplies","P003", G445="Packaging","P004", G445="Raw Materials","P005")</f>
        <v>P004</v>
      </c>
      <c r="C445" s="11">
        <v>502</v>
      </c>
      <c r="D445" s="11">
        <v>28.94</v>
      </c>
      <c r="E445" s="9">
        <v>0.98799999999999999</v>
      </c>
      <c r="F445" s="11" t="s">
        <v>5</v>
      </c>
      <c r="G445" s="16" t="s">
        <v>37</v>
      </c>
    </row>
    <row r="446" spans="1:7" x14ac:dyDescent="0.2">
      <c r="A446" s="7">
        <v>44604</v>
      </c>
      <c r="B446" s="13" t="str" cm="1">
        <f t="array" ref="B446">_xlfn.IFS(G446="Electronics","P001", G446="MRO","P002", G446="Office Supplies","P003", G446="Packaging","P004", G446="Raw Materials","P005")</f>
        <v>P002</v>
      </c>
      <c r="C446" s="8">
        <v>1069</v>
      </c>
      <c r="D446" s="8">
        <v>82.64</v>
      </c>
      <c r="E446" s="9">
        <v>1.0920000000000001</v>
      </c>
      <c r="F446" s="8" t="s">
        <v>5</v>
      </c>
      <c r="G446" s="15" t="s">
        <v>36</v>
      </c>
    </row>
    <row r="447" spans="1:7" x14ac:dyDescent="0.2">
      <c r="A447" s="10">
        <v>44877</v>
      </c>
      <c r="B447" s="13" t="str" cm="1">
        <f t="array" ref="B447">_xlfn.IFS(G447="Electronics","P001", G447="MRO","P002", G447="Office Supplies","P003", G447="Packaging","P004", G447="Raw Materials","P005")</f>
        <v>P002</v>
      </c>
      <c r="C447" s="11">
        <v>1902</v>
      </c>
      <c r="D447" s="11">
        <v>25.83</v>
      </c>
      <c r="E447" s="9">
        <v>0.95299999999999996</v>
      </c>
      <c r="F447" s="11" t="s">
        <v>5</v>
      </c>
      <c r="G447" s="16" t="s">
        <v>36</v>
      </c>
    </row>
    <row r="448" spans="1:7" x14ac:dyDescent="0.2">
      <c r="A448" s="7">
        <v>44935</v>
      </c>
      <c r="B448" s="14" t="str" cm="1">
        <f t="array" ref="B448">_xlfn.IFS(G448="Electronics","P001", G448="MRO","P002", G448="Office Supplies","P003", G448="Packaging","P004", G448="Raw Materials","P005")</f>
        <v>P005</v>
      </c>
      <c r="C448" s="8">
        <v>865</v>
      </c>
      <c r="D448" s="8">
        <v>25.69</v>
      </c>
      <c r="E448" s="9">
        <v>0.999</v>
      </c>
      <c r="F448" s="8" t="s">
        <v>5</v>
      </c>
      <c r="G448" s="15" t="s">
        <v>38</v>
      </c>
    </row>
    <row r="449" spans="1:7" x14ac:dyDescent="0.2">
      <c r="A449" s="10">
        <v>44602</v>
      </c>
      <c r="B449" s="13" t="str" cm="1">
        <f t="array" ref="B449">_xlfn.IFS(G449="Electronics","P001", G449="MRO","P002", G449="Office Supplies","P003", G449="Packaging","P004", G449="Raw Materials","P005")</f>
        <v>P004</v>
      </c>
      <c r="C449" s="11">
        <v>708</v>
      </c>
      <c r="D449" s="11">
        <v>11.61</v>
      </c>
      <c r="E449" s="9">
        <v>1.0920000000000001</v>
      </c>
      <c r="F449" s="11" t="s">
        <v>6</v>
      </c>
      <c r="G449" s="16" t="s">
        <v>37</v>
      </c>
    </row>
    <row r="450" spans="1:7" x14ac:dyDescent="0.2">
      <c r="A450" s="7">
        <v>44928</v>
      </c>
      <c r="B450" s="14" t="str" cm="1">
        <f t="array" ref="B450">_xlfn.IFS(G450="Electronics","P001", G450="MRO","P002", G450="Office Supplies","P003", G450="Packaging","P004", G450="Raw Materials","P005")</f>
        <v>P004</v>
      </c>
      <c r="C450" s="8">
        <v>1589</v>
      </c>
      <c r="D450" s="8">
        <v>48.52</v>
      </c>
      <c r="E450" s="9">
        <v>0.999</v>
      </c>
      <c r="F450" s="8" t="s">
        <v>5</v>
      </c>
      <c r="G450" s="15" t="s">
        <v>37</v>
      </c>
    </row>
    <row r="451" spans="1:7" x14ac:dyDescent="0.2">
      <c r="A451" s="10">
        <v>44777</v>
      </c>
      <c r="B451" s="13" t="str" cm="1">
        <f t="array" ref="B451">_xlfn.IFS(G451="Electronics","P001", G451="MRO","P002", G451="Office Supplies","P003", G451="Packaging","P004", G451="Raw Materials","P005")</f>
        <v>P003</v>
      </c>
      <c r="C451" s="11">
        <v>596</v>
      </c>
      <c r="D451" s="11">
        <v>61.88</v>
      </c>
      <c r="E451" s="9">
        <v>0.96899999999999997</v>
      </c>
      <c r="F451" s="11" t="s">
        <v>5</v>
      </c>
      <c r="G451" s="16" t="s">
        <v>35</v>
      </c>
    </row>
    <row r="452" spans="1:7" x14ac:dyDescent="0.2">
      <c r="A452" s="7">
        <v>45260</v>
      </c>
      <c r="B452" s="13" t="str" cm="1">
        <f t="array" ref="B452">_xlfn.IFS(G452="Electronics","P001", G452="MRO","P002", G452="Office Supplies","P003", G452="Packaging","P004", G452="Raw Materials","P005")</f>
        <v>P003</v>
      </c>
      <c r="C452" s="8">
        <v>1265</v>
      </c>
      <c r="D452" s="8">
        <v>16.97</v>
      </c>
      <c r="E452" s="9">
        <v>0.95299999999999996</v>
      </c>
      <c r="F452" s="8" t="s">
        <v>5</v>
      </c>
      <c r="G452" s="15" t="s">
        <v>35</v>
      </c>
    </row>
    <row r="453" spans="1:7" x14ac:dyDescent="0.2">
      <c r="A453" s="10">
        <v>44817</v>
      </c>
      <c r="B453" s="14" t="str" cm="1">
        <f t="array" ref="B453">_xlfn.IFS(G453="Electronics","P001", G453="MRO","P002", G453="Office Supplies","P003", G453="Packaging","P004", G453="Raw Materials","P005")</f>
        <v>P005</v>
      </c>
      <c r="C453" s="11">
        <v>1122</v>
      </c>
      <c r="D453" s="11">
        <v>81.7</v>
      </c>
      <c r="E453" s="9">
        <v>0.98099999999999998</v>
      </c>
      <c r="F453" s="11" t="s">
        <v>6</v>
      </c>
      <c r="G453" s="16" t="s">
        <v>38</v>
      </c>
    </row>
    <row r="454" spans="1:7" x14ac:dyDescent="0.2">
      <c r="A454" s="7">
        <v>45244</v>
      </c>
      <c r="B454" s="13" t="str" cm="1">
        <f t="array" ref="B454">_xlfn.IFS(G454="Electronics","P001", G454="MRO","P002", G454="Office Supplies","P003", G454="Packaging","P004", G454="Raw Materials","P005")</f>
        <v>P003</v>
      </c>
      <c r="C454" s="8">
        <v>1585</v>
      </c>
      <c r="D454" s="8">
        <v>53.05</v>
      </c>
      <c r="E454" s="9">
        <v>0.95299999999999996</v>
      </c>
      <c r="F454" s="8" t="s">
        <v>5</v>
      </c>
      <c r="G454" s="15" t="s">
        <v>35</v>
      </c>
    </row>
    <row r="455" spans="1:7" x14ac:dyDescent="0.2">
      <c r="A455" s="10">
        <v>44667</v>
      </c>
      <c r="B455" s="14" t="str" cm="1">
        <f t="array" ref="B455">_xlfn.IFS(G455="Electronics","P001", G455="MRO","P002", G455="Office Supplies","P003", G455="Packaging","P004", G455="Raw Materials","P005")</f>
        <v>P001</v>
      </c>
      <c r="C455" s="11">
        <v>66</v>
      </c>
      <c r="D455" s="11">
        <v>50.76</v>
      </c>
      <c r="E455" s="9">
        <v>1.032</v>
      </c>
      <c r="F455" s="11" t="s">
        <v>5</v>
      </c>
      <c r="G455" s="16" t="s">
        <v>39</v>
      </c>
    </row>
    <row r="456" spans="1:7" x14ac:dyDescent="0.2">
      <c r="A456" s="7">
        <v>44924</v>
      </c>
      <c r="B456" s="13" t="str" cm="1">
        <f t="array" ref="B456">_xlfn.IFS(G456="Electronics","P001", G456="MRO","P002", G456="Office Supplies","P003", G456="Packaging","P004", G456="Raw Materials","P005")</f>
        <v>P002</v>
      </c>
      <c r="C456" s="8">
        <v>1245</v>
      </c>
      <c r="D456" s="8">
        <v>51.65</v>
      </c>
      <c r="E456" s="9">
        <v>1.032</v>
      </c>
      <c r="F456" s="8" t="s">
        <v>6</v>
      </c>
      <c r="G456" s="15" t="s">
        <v>36</v>
      </c>
    </row>
    <row r="457" spans="1:7" x14ac:dyDescent="0.2">
      <c r="A457" s="10">
        <v>45135</v>
      </c>
      <c r="B457" s="13" t="str" cm="1">
        <f t="array" ref="B457">_xlfn.IFS(G457="Electronics","P001", G457="MRO","P002", G457="Office Supplies","P003", G457="Packaging","P004", G457="Raw Materials","P005")</f>
        <v>P001</v>
      </c>
      <c r="C457" s="11">
        <v>1293</v>
      </c>
      <c r="D457" s="11">
        <v>47.55</v>
      </c>
      <c r="E457" s="9">
        <v>0.99199999999999999</v>
      </c>
      <c r="F457" s="11" t="s">
        <v>6</v>
      </c>
      <c r="G457" s="16" t="s">
        <v>39</v>
      </c>
    </row>
    <row r="458" spans="1:7" x14ac:dyDescent="0.2">
      <c r="A458" s="7">
        <v>44978</v>
      </c>
      <c r="B458" s="14" t="str" cm="1">
        <f t="array" ref="B458">_xlfn.IFS(G458="Electronics","P001", G458="MRO","P002", G458="Office Supplies","P003", G458="Packaging","P004", G458="Raw Materials","P005")</f>
        <v>P004</v>
      </c>
      <c r="C458" s="8">
        <v>207</v>
      </c>
      <c r="D458" s="8">
        <v>63.01</v>
      </c>
      <c r="E458" s="9">
        <v>1.0920000000000001</v>
      </c>
      <c r="F458" s="8" t="s">
        <v>5</v>
      </c>
      <c r="G458" s="15" t="s">
        <v>37</v>
      </c>
    </row>
    <row r="459" spans="1:7" x14ac:dyDescent="0.2">
      <c r="A459" s="10">
        <v>45197</v>
      </c>
      <c r="B459" s="13" t="str" cm="1">
        <f t="array" ref="B459">_xlfn.IFS(G459="Electronics","P001", G459="MRO","P002", G459="Office Supplies","P003", G459="Packaging","P004", G459="Raw Materials","P005")</f>
        <v>P003</v>
      </c>
      <c r="C459" s="11">
        <v>526</v>
      </c>
      <c r="D459" s="11">
        <v>25.32</v>
      </c>
      <c r="E459" s="9">
        <v>0.98099999999999998</v>
      </c>
      <c r="F459" s="11" t="s">
        <v>5</v>
      </c>
      <c r="G459" s="16" t="s">
        <v>35</v>
      </c>
    </row>
    <row r="460" spans="1:7" x14ac:dyDescent="0.2">
      <c r="A460" s="7">
        <v>44720</v>
      </c>
      <c r="B460" s="14" t="str" cm="1">
        <f t="array" ref="B460">_xlfn.IFS(G460="Electronics","P001", G460="MRO","P002", G460="Office Supplies","P003", G460="Packaging","P004", G460="Raw Materials","P005")</f>
        <v>P001</v>
      </c>
      <c r="C460" s="8">
        <v>1119</v>
      </c>
      <c r="D460" s="8">
        <v>23.82</v>
      </c>
      <c r="E460" s="9">
        <v>0.89100000000000001</v>
      </c>
      <c r="F460" s="8" t="s">
        <v>5</v>
      </c>
      <c r="G460" s="15" t="s">
        <v>39</v>
      </c>
    </row>
    <row r="461" spans="1:7" x14ac:dyDescent="0.2">
      <c r="A461" s="10">
        <v>44804</v>
      </c>
      <c r="B461" s="13" t="str" cm="1">
        <f t="array" ref="B461">_xlfn.IFS(G461="Electronics","P001", G461="MRO","P002", G461="Office Supplies","P003", G461="Packaging","P004", G461="Raw Materials","P005")</f>
        <v>P004</v>
      </c>
      <c r="C461" s="11">
        <v>1446</v>
      </c>
      <c r="D461" s="11">
        <v>84.51</v>
      </c>
      <c r="E461" s="9">
        <v>0.96899999999999997</v>
      </c>
      <c r="F461" s="11" t="s">
        <v>5</v>
      </c>
      <c r="G461" s="16" t="s">
        <v>37</v>
      </c>
    </row>
    <row r="462" spans="1:7" x14ac:dyDescent="0.2">
      <c r="A462" s="7">
        <v>44728</v>
      </c>
      <c r="B462" s="13" t="str" cm="1">
        <f t="array" ref="B462">_xlfn.IFS(G462="Electronics","P001", G462="MRO","P002", G462="Office Supplies","P003", G462="Packaging","P004", G462="Raw Materials","P005")</f>
        <v>P003</v>
      </c>
      <c r="C462" s="8">
        <v>567</v>
      </c>
      <c r="D462" s="8">
        <v>85.29</v>
      </c>
      <c r="E462" s="9">
        <v>0.89100000000000001</v>
      </c>
      <c r="F462" s="8" t="s">
        <v>5</v>
      </c>
      <c r="G462" s="15" t="s">
        <v>35</v>
      </c>
    </row>
    <row r="463" spans="1:7" x14ac:dyDescent="0.2">
      <c r="A463" s="10">
        <v>44743</v>
      </c>
      <c r="B463" s="14" t="str" cm="1">
        <f t="array" ref="B463">_xlfn.IFS(G463="Electronics","P001", G463="MRO","P002", G463="Office Supplies","P003", G463="Packaging","P004", G463="Raw Materials","P005")</f>
        <v>P002</v>
      </c>
      <c r="C463" s="11">
        <v>148</v>
      </c>
      <c r="D463" s="11">
        <v>40.1</v>
      </c>
      <c r="E463" s="9">
        <v>0.99199999999999999</v>
      </c>
      <c r="F463" s="11" t="s">
        <v>6</v>
      </c>
      <c r="G463" s="16" t="s">
        <v>36</v>
      </c>
    </row>
    <row r="464" spans="1:7" x14ac:dyDescent="0.2">
      <c r="A464" s="7">
        <v>44984</v>
      </c>
      <c r="B464" s="13" t="str" cm="1">
        <f t="array" ref="B464">_xlfn.IFS(G464="Electronics","P001", G464="MRO","P002", G464="Office Supplies","P003", G464="Packaging","P004", G464="Raw Materials","P005")</f>
        <v>P002</v>
      </c>
      <c r="C464" s="8">
        <v>1965</v>
      </c>
      <c r="D464" s="8">
        <v>34.64</v>
      </c>
      <c r="E464" s="9">
        <v>1.0920000000000001</v>
      </c>
      <c r="F464" s="8" t="s">
        <v>5</v>
      </c>
      <c r="G464" s="15" t="s">
        <v>36</v>
      </c>
    </row>
    <row r="465" spans="1:7" x14ac:dyDescent="0.2">
      <c r="A465" s="10">
        <v>44587</v>
      </c>
      <c r="B465" s="14" t="str" cm="1">
        <f t="array" ref="B465">_xlfn.IFS(G465="Electronics","P001", G465="MRO","P002", G465="Office Supplies","P003", G465="Packaging","P004", G465="Raw Materials","P005")</f>
        <v>P003</v>
      </c>
      <c r="C465" s="11">
        <v>1818</v>
      </c>
      <c r="D465" s="11">
        <v>58.98</v>
      </c>
      <c r="E465" s="9">
        <v>0.999</v>
      </c>
      <c r="F465" s="11" t="s">
        <v>5</v>
      </c>
      <c r="G465" s="16" t="s">
        <v>35</v>
      </c>
    </row>
    <row r="466" spans="1:7" x14ac:dyDescent="0.2">
      <c r="A466" s="7">
        <v>44745</v>
      </c>
      <c r="B466" s="13" t="str" cm="1">
        <f t="array" ref="B466">_xlfn.IFS(G466="Electronics","P001", G466="MRO","P002", G466="Office Supplies","P003", G466="Packaging","P004", G466="Raw Materials","P005")</f>
        <v>P002</v>
      </c>
      <c r="C466" s="8">
        <v>1110</v>
      </c>
      <c r="D466" s="8">
        <v>45.88</v>
      </c>
      <c r="E466" s="9">
        <v>0.99199999999999999</v>
      </c>
      <c r="F466" s="8" t="s">
        <v>5</v>
      </c>
      <c r="G466" s="15" t="s">
        <v>36</v>
      </c>
    </row>
    <row r="467" spans="1:7" x14ac:dyDescent="0.2">
      <c r="A467" s="10">
        <v>44902</v>
      </c>
      <c r="B467" s="13" t="str" cm="1">
        <f t="array" ref="B467">_xlfn.IFS(G467="Electronics","P001", G467="MRO","P002", G467="Office Supplies","P003", G467="Packaging","P004", G467="Raw Materials","P005")</f>
        <v>P005</v>
      </c>
      <c r="C467" s="11">
        <v>329</v>
      </c>
      <c r="D467" s="11">
        <v>12.74</v>
      </c>
      <c r="E467" s="9">
        <v>1.032</v>
      </c>
      <c r="F467" s="11" t="s">
        <v>5</v>
      </c>
      <c r="G467" s="16" t="s">
        <v>38</v>
      </c>
    </row>
    <row r="468" spans="1:7" x14ac:dyDescent="0.2">
      <c r="A468" s="7">
        <v>44983</v>
      </c>
      <c r="B468" s="14" t="str" cm="1">
        <f t="array" ref="B468">_xlfn.IFS(G468="Electronics","P001", G468="MRO","P002", G468="Office Supplies","P003", G468="Packaging","P004", G468="Raw Materials","P005")</f>
        <v>P003</v>
      </c>
      <c r="C468" s="8">
        <v>1422</v>
      </c>
      <c r="D468" s="8">
        <v>25.18</v>
      </c>
      <c r="E468" s="9">
        <v>1.0920000000000001</v>
      </c>
      <c r="F468" s="8" t="s">
        <v>5</v>
      </c>
      <c r="G468" s="15" t="s">
        <v>35</v>
      </c>
    </row>
    <row r="469" spans="1:7" x14ac:dyDescent="0.2">
      <c r="A469" s="10">
        <v>45247</v>
      </c>
      <c r="B469" s="13" t="str" cm="1">
        <f t="array" ref="B469">_xlfn.IFS(G469="Electronics","P001", G469="MRO","P002", G469="Office Supplies","P003", G469="Packaging","P004", G469="Raw Materials","P005")</f>
        <v>P005</v>
      </c>
      <c r="C469" s="11">
        <v>546</v>
      </c>
      <c r="D469" s="11">
        <v>74.77</v>
      </c>
      <c r="E469" s="9">
        <v>0.95299999999999996</v>
      </c>
      <c r="F469" s="11" t="s">
        <v>6</v>
      </c>
      <c r="G469" s="16" t="s">
        <v>38</v>
      </c>
    </row>
    <row r="470" spans="1:7" x14ac:dyDescent="0.2">
      <c r="A470" s="7">
        <v>44816</v>
      </c>
      <c r="B470" s="14" t="str" cm="1">
        <f t="array" ref="B470">_xlfn.IFS(G470="Electronics","P001", G470="MRO","P002", G470="Office Supplies","P003", G470="Packaging","P004", G470="Raw Materials","P005")</f>
        <v>P003</v>
      </c>
      <c r="C470" s="8">
        <v>351</v>
      </c>
      <c r="D470" s="8">
        <v>71.3</v>
      </c>
      <c r="E470" s="9">
        <v>0.98099999999999998</v>
      </c>
      <c r="F470" s="8" t="s">
        <v>5</v>
      </c>
      <c r="G470" s="15" t="s">
        <v>35</v>
      </c>
    </row>
    <row r="471" spans="1:7" x14ac:dyDescent="0.2">
      <c r="A471" s="10">
        <v>44835</v>
      </c>
      <c r="B471" s="13" t="str" cm="1">
        <f t="array" ref="B471">_xlfn.IFS(G471="Electronics","P001", G471="MRO","P002", G471="Office Supplies","P003", G471="Packaging","P004", G471="Raw Materials","P005")</f>
        <v>P005</v>
      </c>
      <c r="C471" s="11">
        <v>230</v>
      </c>
      <c r="D471" s="11">
        <v>12.81</v>
      </c>
      <c r="E471" s="9">
        <v>0.94299999999999995</v>
      </c>
      <c r="F471" s="11" t="s">
        <v>6</v>
      </c>
      <c r="G471" s="16" t="s">
        <v>38</v>
      </c>
    </row>
    <row r="472" spans="1:7" x14ac:dyDescent="0.2">
      <c r="A472" s="7">
        <v>44725</v>
      </c>
      <c r="B472" s="13" t="str" cm="1">
        <f t="array" ref="B472">_xlfn.IFS(G472="Electronics","P001", G472="MRO","P002", G472="Office Supplies","P003", G472="Packaging","P004", G472="Raw Materials","P005")</f>
        <v>P002</v>
      </c>
      <c r="C472" s="8">
        <v>656</v>
      </c>
      <c r="D472" s="8">
        <v>26.26</v>
      </c>
      <c r="E472" s="9">
        <v>0.89100000000000001</v>
      </c>
      <c r="F472" s="8" t="s">
        <v>5</v>
      </c>
      <c r="G472" s="15" t="s">
        <v>36</v>
      </c>
    </row>
    <row r="473" spans="1:7" x14ac:dyDescent="0.2">
      <c r="A473" s="10">
        <v>45280</v>
      </c>
      <c r="B473" s="14" t="str" cm="1">
        <f t="array" ref="B473">_xlfn.IFS(G473="Electronics","P001", G473="MRO","P002", G473="Office Supplies","P003", G473="Packaging","P004", G473="Raw Materials","P005")</f>
        <v>P002</v>
      </c>
      <c r="C473" s="11">
        <v>1172</v>
      </c>
      <c r="D473" s="11">
        <v>32.090000000000003</v>
      </c>
      <c r="E473" s="9">
        <v>1.032</v>
      </c>
      <c r="F473" s="11" t="s">
        <v>5</v>
      </c>
      <c r="G473" s="16" t="s">
        <v>36</v>
      </c>
    </row>
    <row r="474" spans="1:7" x14ac:dyDescent="0.2">
      <c r="A474" s="7">
        <v>44672</v>
      </c>
      <c r="B474" s="13" t="str" cm="1">
        <f t="array" ref="B474">_xlfn.IFS(G474="Electronics","P001", G474="MRO","P002", G474="Office Supplies","P003", G474="Packaging","P004", G474="Raw Materials","P005")</f>
        <v>P001</v>
      </c>
      <c r="C474" s="8">
        <v>749</v>
      </c>
      <c r="D474" s="8">
        <v>70.02</v>
      </c>
      <c r="E474" s="9">
        <v>1.032</v>
      </c>
      <c r="F474" s="8" t="s">
        <v>5</v>
      </c>
      <c r="G474" s="15" t="s">
        <v>39</v>
      </c>
    </row>
    <row r="475" spans="1:7" x14ac:dyDescent="0.2">
      <c r="A475" s="10">
        <v>44953</v>
      </c>
      <c r="B475" s="14" t="str" cm="1">
        <f t="array" ref="B475">_xlfn.IFS(G475="Electronics","P001", G475="MRO","P002", G475="Office Supplies","P003", G475="Packaging","P004", G475="Raw Materials","P005")</f>
        <v>P004</v>
      </c>
      <c r="C475" s="11">
        <v>1042</v>
      </c>
      <c r="D475" s="11">
        <v>12.3</v>
      </c>
      <c r="E475" s="9">
        <v>0.999</v>
      </c>
      <c r="F475" s="11" t="s">
        <v>5</v>
      </c>
      <c r="G475" s="16" t="s">
        <v>37</v>
      </c>
    </row>
    <row r="476" spans="1:7" x14ac:dyDescent="0.2">
      <c r="A476" s="7">
        <v>44601</v>
      </c>
      <c r="B476" s="13" t="str" cm="1">
        <f t="array" ref="B476">_xlfn.IFS(G476="Electronics","P001", G476="MRO","P002", G476="Office Supplies","P003", G476="Packaging","P004", G476="Raw Materials","P005")</f>
        <v>P005</v>
      </c>
      <c r="C476" s="8">
        <v>1189</v>
      </c>
      <c r="D476" s="8">
        <v>17.149999999999999</v>
      </c>
      <c r="E476" s="9">
        <v>1.0920000000000001</v>
      </c>
      <c r="F476" s="8" t="s">
        <v>6</v>
      </c>
      <c r="G476" s="15" t="s">
        <v>38</v>
      </c>
    </row>
    <row r="477" spans="1:7" x14ac:dyDescent="0.2">
      <c r="A477" s="10">
        <v>45043</v>
      </c>
      <c r="B477" s="13" t="str" cm="1">
        <f t="array" ref="B477">_xlfn.IFS(G477="Electronics","P001", G477="MRO","P002", G477="Office Supplies","P003", G477="Packaging","P004", G477="Raw Materials","P005")</f>
        <v>P003</v>
      </c>
      <c r="C477" s="11">
        <v>240</v>
      </c>
      <c r="D477" s="11">
        <v>81.900000000000006</v>
      </c>
      <c r="E477" s="9">
        <v>1.032</v>
      </c>
      <c r="F477" s="11" t="s">
        <v>5</v>
      </c>
      <c r="G477" s="16" t="s">
        <v>35</v>
      </c>
    </row>
    <row r="478" spans="1:7" x14ac:dyDescent="0.2">
      <c r="A478" s="7">
        <v>44789</v>
      </c>
      <c r="B478" s="14" t="str" cm="1">
        <f t="array" ref="B478">_xlfn.IFS(G478="Electronics","P001", G478="MRO","P002", G478="Office Supplies","P003", G478="Packaging","P004", G478="Raw Materials","P005")</f>
        <v>P002</v>
      </c>
      <c r="C478" s="8">
        <v>302</v>
      </c>
      <c r="D478" s="8">
        <v>26.47</v>
      </c>
      <c r="E478" s="9">
        <v>0.96899999999999997</v>
      </c>
      <c r="F478" s="8" t="s">
        <v>5</v>
      </c>
      <c r="G478" s="15" t="s">
        <v>36</v>
      </c>
    </row>
    <row r="479" spans="1:7" x14ac:dyDescent="0.2">
      <c r="A479" s="10">
        <v>44766</v>
      </c>
      <c r="B479" s="13" t="str" cm="1">
        <f t="array" ref="B479">_xlfn.IFS(G479="Electronics","P001", G479="MRO","P002", G479="Office Supplies","P003", G479="Packaging","P004", G479="Raw Materials","P005")</f>
        <v>P002</v>
      </c>
      <c r="C479" s="11">
        <v>1030</v>
      </c>
      <c r="D479" s="11">
        <v>61.58</v>
      </c>
      <c r="E479" s="9">
        <v>0.99199999999999999</v>
      </c>
      <c r="F479" s="11" t="s">
        <v>6</v>
      </c>
      <c r="G479" s="16" t="s">
        <v>36</v>
      </c>
    </row>
    <row r="480" spans="1:7" x14ac:dyDescent="0.2">
      <c r="A480" s="7">
        <v>45033</v>
      </c>
      <c r="B480" s="14" t="str" cm="1">
        <f t="array" ref="B480">_xlfn.IFS(G480="Electronics","P001", G480="MRO","P002", G480="Office Supplies","P003", G480="Packaging","P004", G480="Raw Materials","P005")</f>
        <v>P003</v>
      </c>
      <c r="C480" s="8">
        <v>977</v>
      </c>
      <c r="D480" s="8">
        <v>32.25</v>
      </c>
      <c r="E480" s="9">
        <v>1.032</v>
      </c>
      <c r="F480" s="8" t="s">
        <v>5</v>
      </c>
      <c r="G480" s="15" t="s">
        <v>35</v>
      </c>
    </row>
    <row r="481" spans="1:7" x14ac:dyDescent="0.2">
      <c r="A481" s="10">
        <v>44920</v>
      </c>
      <c r="B481" s="13" t="str" cm="1">
        <f t="array" ref="B481">_xlfn.IFS(G481="Electronics","P001", G481="MRO","P002", G481="Office Supplies","P003", G481="Packaging","P004", G481="Raw Materials","P005")</f>
        <v>P004</v>
      </c>
      <c r="C481" s="11">
        <v>1234</v>
      </c>
      <c r="D481" s="11">
        <v>17.66</v>
      </c>
      <c r="E481" s="9">
        <v>1.032</v>
      </c>
      <c r="F481" s="11" t="s">
        <v>5</v>
      </c>
      <c r="G481" s="16" t="s">
        <v>37</v>
      </c>
    </row>
    <row r="482" spans="1:7" x14ac:dyDescent="0.2">
      <c r="A482" s="7">
        <v>44874</v>
      </c>
      <c r="B482" s="13" t="str" cm="1">
        <f t="array" ref="B482">_xlfn.IFS(G482="Electronics","P001", G482="MRO","P002", G482="Office Supplies","P003", G482="Packaging","P004", G482="Raw Materials","P005")</f>
        <v>P003</v>
      </c>
      <c r="C482" s="8">
        <v>1329</v>
      </c>
      <c r="D482" s="8">
        <v>33.06</v>
      </c>
      <c r="E482" s="9">
        <v>0.95299999999999996</v>
      </c>
      <c r="F482" s="8" t="s">
        <v>5</v>
      </c>
      <c r="G482" s="15" t="s">
        <v>35</v>
      </c>
    </row>
    <row r="483" spans="1:7" x14ac:dyDescent="0.2">
      <c r="A483" s="10">
        <v>44795</v>
      </c>
      <c r="B483" s="14" t="str" cm="1">
        <f t="array" ref="B483">_xlfn.IFS(G483="Electronics","P001", G483="MRO","P002", G483="Office Supplies","P003", G483="Packaging","P004", G483="Raw Materials","P005")</f>
        <v>P005</v>
      </c>
      <c r="C483" s="11">
        <v>1396</v>
      </c>
      <c r="D483" s="11">
        <v>67.81</v>
      </c>
      <c r="E483" s="9">
        <v>0.96899999999999997</v>
      </c>
      <c r="F483" s="11" t="s">
        <v>5</v>
      </c>
      <c r="G483" s="16" t="s">
        <v>38</v>
      </c>
    </row>
    <row r="484" spans="1:7" x14ac:dyDescent="0.2">
      <c r="A484" s="7">
        <v>44790</v>
      </c>
      <c r="B484" s="13" t="str" cm="1">
        <f t="array" ref="B484">_xlfn.IFS(G484="Electronics","P001", G484="MRO","P002", G484="Office Supplies","P003", G484="Packaging","P004", G484="Raw Materials","P005")</f>
        <v>P005</v>
      </c>
      <c r="C484" s="8">
        <v>177</v>
      </c>
      <c r="D484" s="8">
        <v>87.71</v>
      </c>
      <c r="E484" s="9">
        <v>0.96899999999999997</v>
      </c>
      <c r="F484" s="8" t="s">
        <v>5</v>
      </c>
      <c r="G484" s="15" t="s">
        <v>38</v>
      </c>
    </row>
    <row r="485" spans="1:7" x14ac:dyDescent="0.2">
      <c r="A485" s="10">
        <v>44586</v>
      </c>
      <c r="B485" s="14" t="str" cm="1">
        <f t="array" ref="B485">_xlfn.IFS(G485="Electronics","P001", G485="MRO","P002", G485="Office Supplies","P003", G485="Packaging","P004", G485="Raw Materials","P005")</f>
        <v>P001</v>
      </c>
      <c r="C485" s="11">
        <v>67</v>
      </c>
      <c r="D485" s="11">
        <v>73.06</v>
      </c>
      <c r="E485" s="9">
        <v>0.999</v>
      </c>
      <c r="F485" s="11" t="s">
        <v>5</v>
      </c>
      <c r="G485" s="16" t="s">
        <v>39</v>
      </c>
    </row>
    <row r="486" spans="1:7" x14ac:dyDescent="0.2">
      <c r="A486" s="7">
        <v>45237</v>
      </c>
      <c r="B486" s="13" t="str" cm="1">
        <f t="array" ref="B486">_xlfn.IFS(G486="Electronics","P001", G486="MRO","P002", G486="Office Supplies","P003", G486="Packaging","P004", G486="Raw Materials","P005")</f>
        <v>P003</v>
      </c>
      <c r="C486" s="8">
        <v>1866</v>
      </c>
      <c r="D486" s="8">
        <v>48.2</v>
      </c>
      <c r="E486" s="9">
        <v>0.95299999999999996</v>
      </c>
      <c r="F486" s="8" t="s">
        <v>5</v>
      </c>
      <c r="G486" s="15" t="s">
        <v>35</v>
      </c>
    </row>
    <row r="487" spans="1:7" x14ac:dyDescent="0.2">
      <c r="A487" s="10">
        <v>44759</v>
      </c>
      <c r="B487" s="13" t="str" cm="1">
        <f t="array" ref="B487">_xlfn.IFS(G487="Electronics","P001", G487="MRO","P002", G487="Office Supplies","P003", G487="Packaging","P004", G487="Raw Materials","P005")</f>
        <v>P002</v>
      </c>
      <c r="C487" s="11">
        <v>1808</v>
      </c>
      <c r="D487" s="11">
        <v>67.86</v>
      </c>
      <c r="E487" s="9">
        <v>0.99199999999999999</v>
      </c>
      <c r="F487" s="11" t="s">
        <v>5</v>
      </c>
      <c r="G487" s="16" t="s">
        <v>36</v>
      </c>
    </row>
    <row r="488" spans="1:7" x14ac:dyDescent="0.2">
      <c r="A488" s="7">
        <v>44970</v>
      </c>
      <c r="B488" s="14" t="str" cm="1">
        <f t="array" ref="B488">_xlfn.IFS(G488="Electronics","P001", G488="MRO","P002", G488="Office Supplies","P003", G488="Packaging","P004", G488="Raw Materials","P005")</f>
        <v>P001</v>
      </c>
      <c r="C488" s="8">
        <v>615</v>
      </c>
      <c r="D488" s="8">
        <v>29.52</v>
      </c>
      <c r="E488" s="9">
        <v>1.0920000000000001</v>
      </c>
      <c r="F488" s="8" t="s">
        <v>5</v>
      </c>
      <c r="G488" s="15" t="s">
        <v>39</v>
      </c>
    </row>
    <row r="489" spans="1:7" x14ac:dyDescent="0.2">
      <c r="A489" s="10">
        <v>44898</v>
      </c>
      <c r="B489" s="13" t="str" cm="1">
        <f t="array" ref="B489">_xlfn.IFS(G489="Electronics","P001", G489="MRO","P002", G489="Office Supplies","P003", G489="Packaging","P004", G489="Raw Materials","P005")</f>
        <v>P003</v>
      </c>
      <c r="C489" s="11">
        <v>619</v>
      </c>
      <c r="D489" s="11">
        <v>35.020000000000003</v>
      </c>
      <c r="E489" s="9">
        <v>1.032</v>
      </c>
      <c r="F489" s="11" t="s">
        <v>5</v>
      </c>
      <c r="G489" s="16" t="s">
        <v>35</v>
      </c>
    </row>
    <row r="490" spans="1:7" x14ac:dyDescent="0.2">
      <c r="A490" s="7">
        <v>44847</v>
      </c>
      <c r="B490" s="14" t="str" cm="1">
        <f t="array" ref="B490">_xlfn.IFS(G490="Electronics","P001", G490="MRO","P002", G490="Office Supplies","P003", G490="Packaging","P004", G490="Raw Materials","P005")</f>
        <v>P003</v>
      </c>
      <c r="C490" s="8">
        <v>1396</v>
      </c>
      <c r="D490" s="8">
        <v>84.06</v>
      </c>
      <c r="E490" s="9">
        <v>0.94299999999999995</v>
      </c>
      <c r="F490" s="8" t="s">
        <v>5</v>
      </c>
      <c r="G490" s="15" t="s">
        <v>35</v>
      </c>
    </row>
    <row r="491" spans="1:7" x14ac:dyDescent="0.2">
      <c r="A491" s="10">
        <v>44633</v>
      </c>
      <c r="B491" s="13" t="str" cm="1">
        <f t="array" ref="B491">_xlfn.IFS(G491="Electronics","P001", G491="MRO","P002", G491="Office Supplies","P003", G491="Packaging","P004", G491="Raw Materials","P005")</f>
        <v>P002</v>
      </c>
      <c r="C491" s="11">
        <v>1945</v>
      </c>
      <c r="D491" s="11">
        <v>9.98</v>
      </c>
      <c r="E491" s="9">
        <v>1.115</v>
      </c>
      <c r="F491" s="11" t="s">
        <v>5</v>
      </c>
      <c r="G491" s="16" t="s">
        <v>36</v>
      </c>
    </row>
    <row r="492" spans="1:7" x14ac:dyDescent="0.2">
      <c r="A492" s="7">
        <v>44847</v>
      </c>
      <c r="B492" s="13" t="str" cm="1">
        <f t="array" ref="B492">_xlfn.IFS(G492="Electronics","P001", G492="MRO","P002", G492="Office Supplies","P003", G492="Packaging","P004", G492="Raw Materials","P005")</f>
        <v>P004</v>
      </c>
      <c r="C492" s="8">
        <v>735</v>
      </c>
      <c r="D492" s="8">
        <v>15.89</v>
      </c>
      <c r="E492" s="9">
        <v>0.94299999999999995</v>
      </c>
      <c r="F492" s="8" t="s">
        <v>6</v>
      </c>
      <c r="G492" s="15" t="s">
        <v>37</v>
      </c>
    </row>
    <row r="493" spans="1:7" x14ac:dyDescent="0.2">
      <c r="A493" s="10">
        <v>44921</v>
      </c>
      <c r="B493" s="14" t="str" cm="1">
        <f t="array" ref="B493">_xlfn.IFS(G493="Electronics","P001", G493="MRO","P002", G493="Office Supplies","P003", G493="Packaging","P004", G493="Raw Materials","P005")</f>
        <v>P003</v>
      </c>
      <c r="C493" s="11">
        <v>1865</v>
      </c>
      <c r="D493" s="11">
        <v>26.83</v>
      </c>
      <c r="E493" s="9">
        <v>1.032</v>
      </c>
      <c r="F493" s="11" t="s">
        <v>5</v>
      </c>
      <c r="G493" s="16" t="s">
        <v>35</v>
      </c>
    </row>
    <row r="494" spans="1:7" x14ac:dyDescent="0.2">
      <c r="A494" s="7">
        <v>45218</v>
      </c>
      <c r="B494" s="13" t="str" cm="1">
        <f t="array" ref="B494">_xlfn.IFS(G494="Electronics","P001", G494="MRO","P002", G494="Office Supplies","P003", G494="Packaging","P004", G494="Raw Materials","P005")</f>
        <v>P001</v>
      </c>
      <c r="C494" s="8">
        <v>675</v>
      </c>
      <c r="D494" s="8">
        <v>11.84</v>
      </c>
      <c r="E494" s="9">
        <v>0.94299999999999995</v>
      </c>
      <c r="F494" s="8" t="s">
        <v>5</v>
      </c>
      <c r="G494" s="15" t="s">
        <v>39</v>
      </c>
    </row>
    <row r="495" spans="1:7" x14ac:dyDescent="0.2">
      <c r="A495" s="10">
        <v>45083</v>
      </c>
      <c r="B495" s="14" t="str" cm="1">
        <f t="array" ref="B495">_xlfn.IFS(G495="Electronics","P001", G495="MRO","P002", G495="Office Supplies","P003", G495="Packaging","P004", G495="Raw Materials","P005")</f>
        <v>P002</v>
      </c>
      <c r="C495" s="11">
        <v>1361</v>
      </c>
      <c r="D495" s="11">
        <v>24.29</v>
      </c>
      <c r="E495" s="9">
        <v>0.89100000000000001</v>
      </c>
      <c r="F495" s="11" t="s">
        <v>5</v>
      </c>
      <c r="G495" s="16" t="s">
        <v>36</v>
      </c>
    </row>
    <row r="496" spans="1:7" x14ac:dyDescent="0.2">
      <c r="A496" s="7">
        <v>44971</v>
      </c>
      <c r="B496" s="13" t="str" cm="1">
        <f t="array" ref="B496">_xlfn.IFS(G496="Electronics","P001", G496="MRO","P002", G496="Office Supplies","P003", G496="Packaging","P004", G496="Raw Materials","P005")</f>
        <v>P005</v>
      </c>
      <c r="C496" s="8">
        <v>903</v>
      </c>
      <c r="D496" s="8">
        <v>60.15</v>
      </c>
      <c r="E496" s="9">
        <v>1.0920000000000001</v>
      </c>
      <c r="F496" s="8" t="s">
        <v>5</v>
      </c>
      <c r="G496" s="15" t="s">
        <v>38</v>
      </c>
    </row>
    <row r="497" spans="1:7" x14ac:dyDescent="0.2">
      <c r="A497" s="10">
        <v>45257</v>
      </c>
      <c r="B497" s="13" t="str" cm="1">
        <f t="array" ref="B497">_xlfn.IFS(G497="Electronics","P001", G497="MRO","P002", G497="Office Supplies","P003", G497="Packaging","P004", G497="Raw Materials","P005")</f>
        <v>P004</v>
      </c>
      <c r="C497" s="11">
        <v>1736</v>
      </c>
      <c r="D497" s="11">
        <v>50.68</v>
      </c>
      <c r="E497" s="9">
        <v>0.95299999999999996</v>
      </c>
      <c r="F497" s="11" t="s">
        <v>5</v>
      </c>
      <c r="G497" s="16" t="s">
        <v>37</v>
      </c>
    </row>
    <row r="498" spans="1:7" x14ac:dyDescent="0.2">
      <c r="A498" s="7">
        <v>45111</v>
      </c>
      <c r="B498" s="14" t="str" cm="1">
        <f t="array" ref="B498">_xlfn.IFS(G498="Electronics","P001", G498="MRO","P002", G498="Office Supplies","P003", G498="Packaging","P004", G498="Raw Materials","P005")</f>
        <v>P002</v>
      </c>
      <c r="C498" s="8">
        <v>1011</v>
      </c>
      <c r="D498" s="8">
        <v>97.06</v>
      </c>
      <c r="E498" s="9">
        <v>0.99199999999999999</v>
      </c>
      <c r="F498" s="8" t="s">
        <v>5</v>
      </c>
      <c r="G498" s="15" t="s">
        <v>36</v>
      </c>
    </row>
    <row r="499" spans="1:7" x14ac:dyDescent="0.2">
      <c r="A499" s="10">
        <v>44901</v>
      </c>
      <c r="B499" s="13" t="str" cm="1">
        <f t="array" ref="B499">_xlfn.IFS(G499="Electronics","P001", G499="MRO","P002", G499="Office Supplies","P003", G499="Packaging","P004", G499="Raw Materials","P005")</f>
        <v>P001</v>
      </c>
      <c r="C499" s="11">
        <v>1712</v>
      </c>
      <c r="D499" s="11">
        <v>85.86</v>
      </c>
      <c r="E499" s="9">
        <v>1.032</v>
      </c>
      <c r="F499" s="11" t="s">
        <v>5</v>
      </c>
      <c r="G499" s="16" t="s">
        <v>39</v>
      </c>
    </row>
    <row r="500" spans="1:7" x14ac:dyDescent="0.2">
      <c r="A500" s="7">
        <v>44590</v>
      </c>
      <c r="B500" s="14" t="str" cm="1">
        <f t="array" ref="B500">_xlfn.IFS(G500="Electronics","P001", G500="MRO","P002", G500="Office Supplies","P003", G500="Packaging","P004", G500="Raw Materials","P005")</f>
        <v>P003</v>
      </c>
      <c r="C500" s="8">
        <v>204</v>
      </c>
      <c r="D500" s="8">
        <v>37.46</v>
      </c>
      <c r="E500" s="9">
        <v>0.999</v>
      </c>
      <c r="F500" s="8" t="s">
        <v>5</v>
      </c>
      <c r="G500" s="15" t="s">
        <v>35</v>
      </c>
    </row>
    <row r="501" spans="1:7" x14ac:dyDescent="0.2">
      <c r="A501" s="10">
        <v>44680</v>
      </c>
      <c r="B501" s="13" t="str" cm="1">
        <f t="array" ref="B501">_xlfn.IFS(G501="Electronics","P001", G501="MRO","P002", G501="Office Supplies","P003", G501="Packaging","P004", G501="Raw Materials","P005")</f>
        <v>P001</v>
      </c>
      <c r="C501" s="11">
        <v>539</v>
      </c>
      <c r="D501" s="11">
        <v>30.57</v>
      </c>
      <c r="E501" s="9">
        <v>1.032</v>
      </c>
      <c r="F501" s="11" t="s">
        <v>6</v>
      </c>
      <c r="G501" s="16" t="s">
        <v>39</v>
      </c>
    </row>
    <row r="502" spans="1:7" x14ac:dyDescent="0.2">
      <c r="A502" s="7">
        <v>44829</v>
      </c>
      <c r="B502" s="13" t="str" cm="1">
        <f t="array" ref="B502">_xlfn.IFS(G502="Electronics","P001", G502="MRO","P002", G502="Office Supplies","P003", G502="Packaging","P004", G502="Raw Materials","P005")</f>
        <v>P003</v>
      </c>
      <c r="C502" s="8">
        <v>1459</v>
      </c>
      <c r="D502" s="8">
        <v>42.56</v>
      </c>
      <c r="E502" s="9">
        <v>0.98099999999999998</v>
      </c>
      <c r="F502" s="8" t="s">
        <v>6</v>
      </c>
      <c r="G502" s="15" t="s">
        <v>35</v>
      </c>
    </row>
    <row r="503" spans="1:7" x14ac:dyDescent="0.2">
      <c r="A503" s="10">
        <v>44744</v>
      </c>
      <c r="B503" s="14" t="str" cm="1">
        <f t="array" ref="B503">_xlfn.IFS(G503="Electronics","P001", G503="MRO","P002", G503="Office Supplies","P003", G503="Packaging","P004", G503="Raw Materials","P005")</f>
        <v>P002</v>
      </c>
      <c r="C503" s="11">
        <v>834</v>
      </c>
      <c r="D503" s="11">
        <v>56.19</v>
      </c>
      <c r="E503" s="9">
        <v>0.99199999999999999</v>
      </c>
      <c r="F503" s="11" t="s">
        <v>5</v>
      </c>
      <c r="G503" s="16" t="s">
        <v>36</v>
      </c>
    </row>
    <row r="504" spans="1:7" x14ac:dyDescent="0.2">
      <c r="A504" s="7">
        <v>45156</v>
      </c>
      <c r="B504" s="13" t="str" cm="1">
        <f t="array" ref="B504">_xlfn.IFS(G504="Electronics","P001", G504="MRO","P002", G504="Office Supplies","P003", G504="Packaging","P004", G504="Raw Materials","P005")</f>
        <v>P004</v>
      </c>
      <c r="C504" s="8">
        <v>1177</v>
      </c>
      <c r="D504" s="8">
        <v>34.270000000000003</v>
      </c>
      <c r="E504" s="9">
        <v>0.96899999999999997</v>
      </c>
      <c r="F504" s="8" t="s">
        <v>5</v>
      </c>
      <c r="G504" s="15" t="s">
        <v>37</v>
      </c>
    </row>
    <row r="505" spans="1:7" x14ac:dyDescent="0.2">
      <c r="A505" s="10">
        <v>44833</v>
      </c>
      <c r="B505" s="14" t="str" cm="1">
        <f t="array" ref="B505">_xlfn.IFS(G505="Electronics","P001", G505="MRO","P002", G505="Office Supplies","P003", G505="Packaging","P004", G505="Raw Materials","P005")</f>
        <v>P002</v>
      </c>
      <c r="C505" s="11">
        <v>1466</v>
      </c>
      <c r="D505" s="11">
        <v>66.819999999999993</v>
      </c>
      <c r="E505" s="9">
        <v>0.98099999999999998</v>
      </c>
      <c r="F505" s="11" t="s">
        <v>5</v>
      </c>
      <c r="G505" s="16" t="s">
        <v>36</v>
      </c>
    </row>
    <row r="506" spans="1:7" x14ac:dyDescent="0.2">
      <c r="A506" s="7">
        <v>44601</v>
      </c>
      <c r="B506" s="13" t="str" cm="1">
        <f t="array" ref="B506">_xlfn.IFS(G506="Electronics","P001", G506="MRO","P002", G506="Office Supplies","P003", G506="Packaging","P004", G506="Raw Materials","P005")</f>
        <v>P001</v>
      </c>
      <c r="C506" s="8">
        <v>1884</v>
      </c>
      <c r="D506" s="8">
        <v>44.31</v>
      </c>
      <c r="E506" s="9">
        <v>1.0920000000000001</v>
      </c>
      <c r="F506" s="8" t="s">
        <v>5</v>
      </c>
      <c r="G506" s="15" t="s">
        <v>39</v>
      </c>
    </row>
    <row r="507" spans="1:7" x14ac:dyDescent="0.2">
      <c r="A507" s="10">
        <v>44673</v>
      </c>
      <c r="B507" s="13" t="str" cm="1">
        <f t="array" ref="B507">_xlfn.IFS(G507="Electronics","P001", G507="MRO","P002", G507="Office Supplies","P003", G507="Packaging","P004", G507="Raw Materials","P005")</f>
        <v>P001</v>
      </c>
      <c r="C507" s="11">
        <v>295</v>
      </c>
      <c r="D507" s="11">
        <v>57.32</v>
      </c>
      <c r="E507" s="9">
        <v>1.032</v>
      </c>
      <c r="F507" s="11" t="s">
        <v>5</v>
      </c>
      <c r="G507" s="16" t="s">
        <v>39</v>
      </c>
    </row>
    <row r="508" spans="1:7" x14ac:dyDescent="0.2">
      <c r="A508" s="7">
        <v>45172</v>
      </c>
      <c r="B508" s="14" t="str" cm="1">
        <f t="array" ref="B508">_xlfn.IFS(G508="Electronics","P001", G508="MRO","P002", G508="Office Supplies","P003", G508="Packaging","P004", G508="Raw Materials","P005")</f>
        <v>P005</v>
      </c>
      <c r="C508" s="8">
        <v>1249</v>
      </c>
      <c r="D508" s="8">
        <v>47.29</v>
      </c>
      <c r="E508" s="9">
        <v>0.98099999999999998</v>
      </c>
      <c r="F508" s="8" t="s">
        <v>5</v>
      </c>
      <c r="G508" s="15" t="s">
        <v>38</v>
      </c>
    </row>
    <row r="509" spans="1:7" x14ac:dyDescent="0.2">
      <c r="A509" s="10">
        <v>45006</v>
      </c>
      <c r="B509" s="13" t="str" cm="1">
        <f t="array" ref="B509">_xlfn.IFS(G509="Electronics","P001", G509="MRO","P002", G509="Office Supplies","P003", G509="Packaging","P004", G509="Raw Materials","P005")</f>
        <v>P005</v>
      </c>
      <c r="C509" s="11">
        <v>1112</v>
      </c>
      <c r="D509" s="11">
        <v>33.6</v>
      </c>
      <c r="E509" s="9">
        <v>1.115</v>
      </c>
      <c r="F509" s="11" t="s">
        <v>6</v>
      </c>
      <c r="G509" s="16" t="s">
        <v>38</v>
      </c>
    </row>
    <row r="510" spans="1:7" x14ac:dyDescent="0.2">
      <c r="A510" s="7">
        <v>44915</v>
      </c>
      <c r="B510" s="14" t="str" cm="1">
        <f t="array" ref="B510">_xlfn.IFS(G510="Electronics","P001", G510="MRO","P002", G510="Office Supplies","P003", G510="Packaging","P004", G510="Raw Materials","P005")</f>
        <v>P003</v>
      </c>
      <c r="C510" s="8">
        <v>1550</v>
      </c>
      <c r="D510" s="8">
        <v>97.43</v>
      </c>
      <c r="E510" s="9">
        <v>1.032</v>
      </c>
      <c r="F510" s="8" t="s">
        <v>5</v>
      </c>
      <c r="G510" s="15" t="s">
        <v>35</v>
      </c>
    </row>
    <row r="511" spans="1:7" x14ac:dyDescent="0.2">
      <c r="A511" s="10">
        <v>44883</v>
      </c>
      <c r="B511" s="13" t="str" cm="1">
        <f t="array" ref="B511">_xlfn.IFS(G511="Electronics","P001", G511="MRO","P002", G511="Office Supplies","P003", G511="Packaging","P004", G511="Raw Materials","P005")</f>
        <v>P001</v>
      </c>
      <c r="C511" s="11">
        <v>1755</v>
      </c>
      <c r="D511" s="11">
        <v>73.67</v>
      </c>
      <c r="E511" s="9">
        <v>0.95299999999999996</v>
      </c>
      <c r="F511" s="11" t="s">
        <v>6</v>
      </c>
      <c r="G511" s="16" t="s">
        <v>39</v>
      </c>
    </row>
    <row r="512" spans="1:7" x14ac:dyDescent="0.2">
      <c r="A512" s="7">
        <v>45008</v>
      </c>
      <c r="B512" s="13" t="str" cm="1">
        <f t="array" ref="B512">_xlfn.IFS(G512="Electronics","P001", G512="MRO","P002", G512="Office Supplies","P003", G512="Packaging","P004", G512="Raw Materials","P005")</f>
        <v>P005</v>
      </c>
      <c r="C512" s="8">
        <v>808</v>
      </c>
      <c r="D512" s="8">
        <v>21.64</v>
      </c>
      <c r="E512" s="9">
        <v>1.115</v>
      </c>
      <c r="F512" s="8" t="s">
        <v>5</v>
      </c>
      <c r="G512" s="15" t="s">
        <v>38</v>
      </c>
    </row>
    <row r="513" spans="1:7" x14ac:dyDescent="0.2">
      <c r="A513" s="10">
        <v>45182</v>
      </c>
      <c r="B513" s="14" t="str" cm="1">
        <f t="array" ref="B513">_xlfn.IFS(G513="Electronics","P001", G513="MRO","P002", G513="Office Supplies","P003", G513="Packaging","P004", G513="Raw Materials","P005")</f>
        <v>P005</v>
      </c>
      <c r="C513" s="11">
        <v>587</v>
      </c>
      <c r="D513" s="11">
        <v>95.35</v>
      </c>
      <c r="E513" s="9">
        <v>0.98099999999999998</v>
      </c>
      <c r="F513" s="11" t="s">
        <v>5</v>
      </c>
      <c r="G513" s="16" t="s">
        <v>38</v>
      </c>
    </row>
    <row r="514" spans="1:7" x14ac:dyDescent="0.2">
      <c r="A514" s="7">
        <v>45085</v>
      </c>
      <c r="B514" s="13" t="str" cm="1">
        <f t="array" ref="B514">_xlfn.IFS(G514="Electronics","P001", G514="MRO","P002", G514="Office Supplies","P003", G514="Packaging","P004", G514="Raw Materials","P005")</f>
        <v>P002</v>
      </c>
      <c r="C514" s="8">
        <v>1940</v>
      </c>
      <c r="D514" s="8">
        <v>50.29</v>
      </c>
      <c r="E514" s="9">
        <v>0.89100000000000001</v>
      </c>
      <c r="F514" s="8" t="s">
        <v>5</v>
      </c>
      <c r="G514" s="15" t="s">
        <v>36</v>
      </c>
    </row>
    <row r="515" spans="1:7" x14ac:dyDescent="0.2">
      <c r="A515" s="10">
        <v>44680</v>
      </c>
      <c r="B515" s="14" t="str" cm="1">
        <f t="array" ref="B515">_xlfn.IFS(G515="Electronics","P001", G515="MRO","P002", G515="Office Supplies","P003", G515="Packaging","P004", G515="Raw Materials","P005")</f>
        <v>P003</v>
      </c>
      <c r="C515" s="11">
        <v>1891</v>
      </c>
      <c r="D515" s="11">
        <v>80.28</v>
      </c>
      <c r="E515" s="9">
        <v>1.032</v>
      </c>
      <c r="F515" s="11" t="s">
        <v>5</v>
      </c>
      <c r="G515" s="16" t="s">
        <v>35</v>
      </c>
    </row>
    <row r="516" spans="1:7" x14ac:dyDescent="0.2">
      <c r="A516" s="7">
        <v>44956</v>
      </c>
      <c r="B516" s="13" t="str" cm="1">
        <f t="array" ref="B516">_xlfn.IFS(G516="Electronics","P001", G516="MRO","P002", G516="Office Supplies","P003", G516="Packaging","P004", G516="Raw Materials","P005")</f>
        <v>P004</v>
      </c>
      <c r="C516" s="8">
        <v>970</v>
      </c>
      <c r="D516" s="8">
        <v>78.44</v>
      </c>
      <c r="E516" s="9">
        <v>0.999</v>
      </c>
      <c r="F516" s="8" t="s">
        <v>5</v>
      </c>
      <c r="G516" s="15" t="s">
        <v>37</v>
      </c>
    </row>
    <row r="517" spans="1:7" x14ac:dyDescent="0.2">
      <c r="A517" s="10">
        <v>45152</v>
      </c>
      <c r="B517" s="13" t="str" cm="1">
        <f t="array" ref="B517">_xlfn.IFS(G517="Electronics","P001", G517="MRO","P002", G517="Office Supplies","P003", G517="Packaging","P004", G517="Raw Materials","P005")</f>
        <v>P002</v>
      </c>
      <c r="C517" s="11">
        <v>457</v>
      </c>
      <c r="D517" s="11">
        <v>50.34</v>
      </c>
      <c r="E517" s="9">
        <v>0.96899999999999997</v>
      </c>
      <c r="F517" s="11" t="s">
        <v>5</v>
      </c>
      <c r="G517" s="16" t="s">
        <v>36</v>
      </c>
    </row>
    <row r="518" spans="1:7" x14ac:dyDescent="0.2">
      <c r="A518" s="7">
        <v>44756</v>
      </c>
      <c r="B518" s="14" t="str" cm="1">
        <f t="array" ref="B518">_xlfn.IFS(G518="Electronics","P001", G518="MRO","P002", G518="Office Supplies","P003", G518="Packaging","P004", G518="Raw Materials","P005")</f>
        <v>P003</v>
      </c>
      <c r="C518" s="8">
        <v>574</v>
      </c>
      <c r="D518" s="8">
        <v>11.47</v>
      </c>
      <c r="E518" s="9">
        <v>0.99199999999999999</v>
      </c>
      <c r="F518" s="8" t="s">
        <v>6</v>
      </c>
      <c r="G518" s="15" t="s">
        <v>35</v>
      </c>
    </row>
    <row r="519" spans="1:7" x14ac:dyDescent="0.2">
      <c r="A519" s="10">
        <v>44822</v>
      </c>
      <c r="B519" s="13" t="str" cm="1">
        <f t="array" ref="B519">_xlfn.IFS(G519="Electronics","P001", G519="MRO","P002", G519="Office Supplies","P003", G519="Packaging","P004", G519="Raw Materials","P005")</f>
        <v>P003</v>
      </c>
      <c r="C519" s="11">
        <v>877</v>
      </c>
      <c r="D519" s="11">
        <v>34.69</v>
      </c>
      <c r="E519" s="9">
        <v>0.98099999999999998</v>
      </c>
      <c r="F519" s="11" t="s">
        <v>5</v>
      </c>
      <c r="G519" s="16" t="s">
        <v>35</v>
      </c>
    </row>
    <row r="520" spans="1:7" x14ac:dyDescent="0.2">
      <c r="A520" s="7">
        <v>44607</v>
      </c>
      <c r="B520" s="14" t="str" cm="1">
        <f t="array" ref="B520">_xlfn.IFS(G520="Electronics","P001", G520="MRO","P002", G520="Office Supplies","P003", G520="Packaging","P004", G520="Raw Materials","P005")</f>
        <v>P002</v>
      </c>
      <c r="C520" s="8">
        <v>1579</v>
      </c>
      <c r="D520" s="8">
        <v>50.95</v>
      </c>
      <c r="E520" s="9">
        <v>1.0920000000000001</v>
      </c>
      <c r="F520" s="8" t="s">
        <v>5</v>
      </c>
      <c r="G520" s="15" t="s">
        <v>36</v>
      </c>
    </row>
    <row r="521" spans="1:7" x14ac:dyDescent="0.2">
      <c r="A521" s="10">
        <v>45287</v>
      </c>
      <c r="B521" s="13" t="str" cm="1">
        <f t="array" ref="B521">_xlfn.IFS(G521="Electronics","P001", G521="MRO","P002", G521="Office Supplies","P003", G521="Packaging","P004", G521="Raw Materials","P005")</f>
        <v>P005</v>
      </c>
      <c r="C521" s="11">
        <v>952</v>
      </c>
      <c r="D521" s="11">
        <v>69.73</v>
      </c>
      <c r="E521" s="9">
        <v>1.032</v>
      </c>
      <c r="F521" s="11" t="s">
        <v>5</v>
      </c>
      <c r="G521" s="16" t="s">
        <v>38</v>
      </c>
    </row>
    <row r="522" spans="1:7" x14ac:dyDescent="0.2">
      <c r="A522" s="7">
        <v>45008</v>
      </c>
      <c r="B522" s="13" t="str" cm="1">
        <f t="array" ref="B522">_xlfn.IFS(G522="Electronics","P001", G522="MRO","P002", G522="Office Supplies","P003", G522="Packaging","P004", G522="Raw Materials","P005")</f>
        <v>P005</v>
      </c>
      <c r="C522" s="8">
        <v>1898</v>
      </c>
      <c r="D522" s="8">
        <v>33.25</v>
      </c>
      <c r="E522" s="9">
        <v>1.115</v>
      </c>
      <c r="F522" s="8" t="s">
        <v>5</v>
      </c>
      <c r="G522" s="15" t="s">
        <v>38</v>
      </c>
    </row>
    <row r="523" spans="1:7" x14ac:dyDescent="0.2">
      <c r="A523" s="10">
        <v>44563</v>
      </c>
      <c r="B523" s="14" t="str" cm="1">
        <f t="array" ref="B523">_xlfn.IFS(G523="Electronics","P001", G523="MRO","P002", G523="Office Supplies","P003", G523="Packaging","P004", G523="Raw Materials","P005")</f>
        <v>P004</v>
      </c>
      <c r="C523" s="11">
        <v>85</v>
      </c>
      <c r="D523" s="11">
        <v>20.68</v>
      </c>
      <c r="E523" s="9">
        <v>0.999</v>
      </c>
      <c r="F523" s="11" t="s">
        <v>5</v>
      </c>
      <c r="G523" s="16" t="s">
        <v>37</v>
      </c>
    </row>
    <row r="524" spans="1:7" x14ac:dyDescent="0.2">
      <c r="A524" s="7">
        <v>45094</v>
      </c>
      <c r="B524" s="13" t="str" cm="1">
        <f t="array" ref="B524">_xlfn.IFS(G524="Electronics","P001", G524="MRO","P002", G524="Office Supplies","P003", G524="Packaging","P004", G524="Raw Materials","P005")</f>
        <v>P004</v>
      </c>
      <c r="C524" s="8">
        <v>734</v>
      </c>
      <c r="D524" s="8">
        <v>78.92</v>
      </c>
      <c r="E524" s="9">
        <v>0.89100000000000001</v>
      </c>
      <c r="F524" s="8" t="s">
        <v>6</v>
      </c>
      <c r="G524" s="15" t="s">
        <v>37</v>
      </c>
    </row>
    <row r="525" spans="1:7" x14ac:dyDescent="0.2">
      <c r="A525" s="10">
        <v>45113</v>
      </c>
      <c r="B525" s="14" t="str" cm="1">
        <f t="array" ref="B525">_xlfn.IFS(G525="Electronics","P001", G525="MRO","P002", G525="Office Supplies","P003", G525="Packaging","P004", G525="Raw Materials","P005")</f>
        <v>P003</v>
      </c>
      <c r="C525" s="11">
        <v>69</v>
      </c>
      <c r="D525" s="11">
        <v>105.53</v>
      </c>
      <c r="E525" s="9">
        <v>0.99199999999999999</v>
      </c>
      <c r="F525" s="11" t="s">
        <v>5</v>
      </c>
      <c r="G525" s="16" t="s">
        <v>35</v>
      </c>
    </row>
    <row r="526" spans="1:7" x14ac:dyDescent="0.2">
      <c r="A526" s="7">
        <v>45265</v>
      </c>
      <c r="B526" s="13" t="str" cm="1">
        <f t="array" ref="B526">_xlfn.IFS(G526="Electronics","P001", G526="MRO","P002", G526="Office Supplies","P003", G526="Packaging","P004", G526="Raw Materials","P005")</f>
        <v>P004</v>
      </c>
      <c r="C526" s="8">
        <v>370</v>
      </c>
      <c r="D526" s="8">
        <v>55.79</v>
      </c>
      <c r="E526" s="9">
        <v>1.032</v>
      </c>
      <c r="F526" s="8" t="s">
        <v>5</v>
      </c>
      <c r="G526" s="15" t="s">
        <v>37</v>
      </c>
    </row>
    <row r="527" spans="1:7" x14ac:dyDescent="0.2">
      <c r="A527" s="10">
        <v>45248</v>
      </c>
      <c r="B527" s="13" t="str" cm="1">
        <f t="array" ref="B527">_xlfn.IFS(G527="Electronics","P001", G527="MRO","P002", G527="Office Supplies","P003", G527="Packaging","P004", G527="Raw Materials","P005")</f>
        <v>P002</v>
      </c>
      <c r="C527" s="11">
        <v>1849</v>
      </c>
      <c r="D527" s="11">
        <v>27.53</v>
      </c>
      <c r="E527" s="9">
        <v>0.95299999999999996</v>
      </c>
      <c r="F527" s="11" t="s">
        <v>5</v>
      </c>
      <c r="G527" s="16" t="s">
        <v>36</v>
      </c>
    </row>
    <row r="528" spans="1:7" x14ac:dyDescent="0.2">
      <c r="A528" s="7">
        <v>44763</v>
      </c>
      <c r="B528" s="14" t="str" cm="1">
        <f t="array" ref="B528">_xlfn.IFS(G528="Electronics","P001", G528="MRO","P002", G528="Office Supplies","P003", G528="Packaging","P004", G528="Raw Materials","P005")</f>
        <v>P004</v>
      </c>
      <c r="C528" s="8">
        <v>561</v>
      </c>
      <c r="D528" s="8">
        <v>30.99</v>
      </c>
      <c r="E528" s="9">
        <v>0.99199999999999999</v>
      </c>
      <c r="F528" s="8" t="s">
        <v>6</v>
      </c>
      <c r="G528" s="15" t="s">
        <v>37</v>
      </c>
    </row>
    <row r="529" spans="1:7" x14ac:dyDescent="0.2">
      <c r="A529" s="10">
        <v>44934</v>
      </c>
      <c r="B529" s="13" t="str" cm="1">
        <f t="array" ref="B529">_xlfn.IFS(G529="Electronics","P001", G529="MRO","P002", G529="Office Supplies","P003", G529="Packaging","P004", G529="Raw Materials","P005")</f>
        <v>P001</v>
      </c>
      <c r="C529" s="11">
        <v>449</v>
      </c>
      <c r="D529" s="11">
        <v>10.67</v>
      </c>
      <c r="E529" s="9">
        <v>0.999</v>
      </c>
      <c r="F529" s="11" t="s">
        <v>5</v>
      </c>
      <c r="G529" s="16" t="s">
        <v>39</v>
      </c>
    </row>
    <row r="530" spans="1:7" x14ac:dyDescent="0.2">
      <c r="A530" s="7">
        <v>45003</v>
      </c>
      <c r="B530" s="14" t="str" cm="1">
        <f t="array" ref="B530">_xlfn.IFS(G530="Electronics","P001", G530="MRO","P002", G530="Office Supplies","P003", G530="Packaging","P004", G530="Raw Materials","P005")</f>
        <v>P003</v>
      </c>
      <c r="C530" s="8">
        <v>703</v>
      </c>
      <c r="D530" s="8">
        <v>86.78</v>
      </c>
      <c r="E530" s="9">
        <v>1.115</v>
      </c>
      <c r="F530" s="8" t="s">
        <v>5</v>
      </c>
      <c r="G530" s="15" t="s">
        <v>35</v>
      </c>
    </row>
    <row r="531" spans="1:7" x14ac:dyDescent="0.2">
      <c r="A531" s="10">
        <v>44633</v>
      </c>
      <c r="B531" s="13" t="str" cm="1">
        <f t="array" ref="B531">_xlfn.IFS(G531="Electronics","P001", G531="MRO","P002", G531="Office Supplies","P003", G531="Packaging","P004", G531="Raw Materials","P005")</f>
        <v>P001</v>
      </c>
      <c r="C531" s="11">
        <v>1021</v>
      </c>
      <c r="D531" s="11">
        <v>18.23</v>
      </c>
      <c r="E531" s="9">
        <v>1.115</v>
      </c>
      <c r="F531" s="11" t="s">
        <v>5</v>
      </c>
      <c r="G531" s="16" t="s">
        <v>39</v>
      </c>
    </row>
    <row r="532" spans="1:7" x14ac:dyDescent="0.2">
      <c r="A532" s="7">
        <v>45242</v>
      </c>
      <c r="B532" s="13" t="str" cm="1">
        <f t="array" ref="B532">_xlfn.IFS(G532="Electronics","P001", G532="MRO","P002", G532="Office Supplies","P003", G532="Packaging","P004", G532="Raw Materials","P005")</f>
        <v>P003</v>
      </c>
      <c r="C532" s="8">
        <v>1956</v>
      </c>
      <c r="D532" s="8">
        <v>65.09</v>
      </c>
      <c r="E532" s="9">
        <v>0.95299999999999996</v>
      </c>
      <c r="F532" s="8" t="s">
        <v>5</v>
      </c>
      <c r="G532" s="15" t="s">
        <v>35</v>
      </c>
    </row>
    <row r="533" spans="1:7" x14ac:dyDescent="0.2">
      <c r="A533" s="10">
        <v>44900</v>
      </c>
      <c r="B533" s="14" t="str" cm="1">
        <f t="array" ref="B533">_xlfn.IFS(G533="Electronics","P001", G533="MRO","P002", G533="Office Supplies","P003", G533="Packaging","P004", G533="Raw Materials","P005")</f>
        <v>P003</v>
      </c>
      <c r="C533" s="11">
        <v>520</v>
      </c>
      <c r="D533" s="11">
        <v>34.78</v>
      </c>
      <c r="E533" s="9">
        <v>1.032</v>
      </c>
      <c r="F533" s="11" t="s">
        <v>6</v>
      </c>
      <c r="G533" s="16" t="s">
        <v>35</v>
      </c>
    </row>
    <row r="534" spans="1:7" x14ac:dyDescent="0.2">
      <c r="A534" s="7">
        <v>45200</v>
      </c>
      <c r="B534" s="13" t="str" cm="1">
        <f t="array" ref="B534">_xlfn.IFS(G534="Electronics","P001", G534="MRO","P002", G534="Office Supplies","P003", G534="Packaging","P004", G534="Raw Materials","P005")</f>
        <v>P002</v>
      </c>
      <c r="C534" s="8">
        <v>1216</v>
      </c>
      <c r="D534" s="8">
        <v>63</v>
      </c>
      <c r="E534" s="9">
        <v>0.94299999999999995</v>
      </c>
      <c r="F534" s="8" t="s">
        <v>6</v>
      </c>
      <c r="G534" s="15" t="s">
        <v>36</v>
      </c>
    </row>
    <row r="535" spans="1:7" x14ac:dyDescent="0.2">
      <c r="A535" s="10">
        <v>44883</v>
      </c>
      <c r="B535" s="14" t="str" cm="1">
        <f t="array" ref="B535">_xlfn.IFS(G535="Electronics","P001", G535="MRO","P002", G535="Office Supplies","P003", G535="Packaging","P004", G535="Raw Materials","P005")</f>
        <v>P005</v>
      </c>
      <c r="C535" s="11">
        <v>1165</v>
      </c>
      <c r="D535" s="11">
        <v>63.93</v>
      </c>
      <c r="E535" s="9">
        <v>0.95299999999999996</v>
      </c>
      <c r="F535" s="11" t="s">
        <v>5</v>
      </c>
      <c r="G535" s="16" t="s">
        <v>38</v>
      </c>
    </row>
    <row r="536" spans="1:7" x14ac:dyDescent="0.2">
      <c r="A536" s="7">
        <v>45241</v>
      </c>
      <c r="B536" s="13" t="str" cm="1">
        <f t="array" ref="B536">_xlfn.IFS(G536="Electronics","P001", G536="MRO","P002", G536="Office Supplies","P003", G536="Packaging","P004", G536="Raw Materials","P005")</f>
        <v>P004</v>
      </c>
      <c r="C536" s="8">
        <v>1427</v>
      </c>
      <c r="D536" s="8">
        <v>83.6</v>
      </c>
      <c r="E536" s="9">
        <v>0.95299999999999996</v>
      </c>
      <c r="F536" s="8" t="s">
        <v>5</v>
      </c>
      <c r="G536" s="15" t="s">
        <v>37</v>
      </c>
    </row>
    <row r="537" spans="1:7" x14ac:dyDescent="0.2">
      <c r="A537" s="10">
        <v>44689</v>
      </c>
      <c r="B537" s="13" t="str" cm="1">
        <f t="array" ref="B537">_xlfn.IFS(G537="Electronics","P001", G537="MRO","P002", G537="Office Supplies","P003", G537="Packaging","P004", G537="Raw Materials","P005")</f>
        <v>P001</v>
      </c>
      <c r="C537" s="11">
        <v>883</v>
      </c>
      <c r="D537" s="11">
        <v>25.75</v>
      </c>
      <c r="E537" s="9">
        <v>0.98799999999999999</v>
      </c>
      <c r="F537" s="11" t="s">
        <v>5</v>
      </c>
      <c r="G537" s="16" t="s">
        <v>39</v>
      </c>
    </row>
    <row r="538" spans="1:7" x14ac:dyDescent="0.2">
      <c r="A538" s="7">
        <v>44869</v>
      </c>
      <c r="B538" s="14" t="str" cm="1">
        <f t="array" ref="B538">_xlfn.IFS(G538="Electronics","P001", G538="MRO","P002", G538="Office Supplies","P003", G538="Packaging","P004", G538="Raw Materials","P005")</f>
        <v>P004</v>
      </c>
      <c r="C538" s="8">
        <v>1873</v>
      </c>
      <c r="D538" s="8">
        <v>9.89</v>
      </c>
      <c r="E538" s="9">
        <v>0.95299999999999996</v>
      </c>
      <c r="F538" s="8" t="s">
        <v>6</v>
      </c>
      <c r="G538" s="15" t="s">
        <v>37</v>
      </c>
    </row>
    <row r="539" spans="1:7" x14ac:dyDescent="0.2">
      <c r="A539" s="10">
        <v>45081</v>
      </c>
      <c r="B539" s="13" t="str" cm="1">
        <f t="array" ref="B539">_xlfn.IFS(G539="Electronics","P001", G539="MRO","P002", G539="Office Supplies","P003", G539="Packaging","P004", G539="Raw Materials","P005")</f>
        <v>P003</v>
      </c>
      <c r="C539" s="11">
        <v>776</v>
      </c>
      <c r="D539" s="11">
        <v>22.53</v>
      </c>
      <c r="E539" s="9">
        <v>0.89100000000000001</v>
      </c>
      <c r="F539" s="11" t="s">
        <v>5</v>
      </c>
      <c r="G539" s="16" t="s">
        <v>35</v>
      </c>
    </row>
    <row r="540" spans="1:7" x14ac:dyDescent="0.2">
      <c r="A540" s="7">
        <v>44878</v>
      </c>
      <c r="B540" s="14" t="str" cm="1">
        <f t="array" ref="B540">_xlfn.IFS(G540="Electronics","P001", G540="MRO","P002", G540="Office Supplies","P003", G540="Packaging","P004", G540="Raw Materials","P005")</f>
        <v>P001</v>
      </c>
      <c r="C540" s="8">
        <v>903</v>
      </c>
      <c r="D540" s="8">
        <v>92.45</v>
      </c>
      <c r="E540" s="9">
        <v>0.95299999999999996</v>
      </c>
      <c r="F540" s="8" t="s">
        <v>6</v>
      </c>
      <c r="G540" s="15" t="s">
        <v>39</v>
      </c>
    </row>
    <row r="541" spans="1:7" x14ac:dyDescent="0.2">
      <c r="A541" s="10">
        <v>45244</v>
      </c>
      <c r="B541" s="13" t="str" cm="1">
        <f t="array" ref="B541">_xlfn.IFS(G541="Electronics","P001", G541="MRO","P002", G541="Office Supplies","P003", G541="Packaging","P004", G541="Raw Materials","P005")</f>
        <v>P001</v>
      </c>
      <c r="C541" s="11">
        <v>100</v>
      </c>
      <c r="D541" s="11">
        <v>85.76</v>
      </c>
      <c r="E541" s="9">
        <v>0.95299999999999996</v>
      </c>
      <c r="F541" s="11" t="s">
        <v>5</v>
      </c>
      <c r="G541" s="16" t="s">
        <v>39</v>
      </c>
    </row>
    <row r="542" spans="1:7" x14ac:dyDescent="0.2">
      <c r="A542" s="7">
        <v>44980</v>
      </c>
      <c r="B542" s="13" t="str" cm="1">
        <f t="array" ref="B542">_xlfn.IFS(G542="Electronics","P001", G542="MRO","P002", G542="Office Supplies","P003", G542="Packaging","P004", G542="Raw Materials","P005")</f>
        <v>P003</v>
      </c>
      <c r="C542" s="8">
        <v>1738</v>
      </c>
      <c r="D542" s="8">
        <v>61.15</v>
      </c>
      <c r="E542" s="9">
        <v>1.0920000000000001</v>
      </c>
      <c r="F542" s="8" t="s">
        <v>5</v>
      </c>
      <c r="G542" s="15" t="s">
        <v>35</v>
      </c>
    </row>
    <row r="543" spans="1:7" x14ac:dyDescent="0.2">
      <c r="A543" s="10">
        <v>44896</v>
      </c>
      <c r="B543" s="14" t="str" cm="1">
        <f t="array" ref="B543">_xlfn.IFS(G543="Electronics","P001", G543="MRO","P002", G543="Office Supplies","P003", G543="Packaging","P004", G543="Raw Materials","P005")</f>
        <v>P004</v>
      </c>
      <c r="C543" s="11">
        <v>1771</v>
      </c>
      <c r="D543" s="11">
        <v>61.48</v>
      </c>
      <c r="E543" s="9">
        <v>1.032</v>
      </c>
      <c r="F543" s="11" t="s">
        <v>6</v>
      </c>
      <c r="G543" s="16" t="s">
        <v>37</v>
      </c>
    </row>
    <row r="544" spans="1:7" x14ac:dyDescent="0.2">
      <c r="A544" s="7">
        <v>44974</v>
      </c>
      <c r="B544" s="13" t="str" cm="1">
        <f t="array" ref="B544">_xlfn.IFS(G544="Electronics","P001", G544="MRO","P002", G544="Office Supplies","P003", G544="Packaging","P004", G544="Raw Materials","P005")</f>
        <v>P001</v>
      </c>
      <c r="C544" s="8">
        <v>624</v>
      </c>
      <c r="D544" s="8">
        <v>66.3</v>
      </c>
      <c r="E544" s="9">
        <v>1.0920000000000001</v>
      </c>
      <c r="F544" s="8" t="s">
        <v>6</v>
      </c>
      <c r="G544" s="15" t="s">
        <v>39</v>
      </c>
    </row>
    <row r="545" spans="1:7" x14ac:dyDescent="0.2">
      <c r="A545" s="10">
        <v>45275</v>
      </c>
      <c r="B545" s="14" t="str" cm="1">
        <f t="array" ref="B545">_xlfn.IFS(G545="Electronics","P001", G545="MRO","P002", G545="Office Supplies","P003", G545="Packaging","P004", G545="Raw Materials","P005")</f>
        <v>P004</v>
      </c>
      <c r="C545" s="11">
        <v>1263</v>
      </c>
      <c r="D545" s="11">
        <v>27.1</v>
      </c>
      <c r="E545" s="9">
        <v>1.032</v>
      </c>
      <c r="F545" s="11" t="s">
        <v>5</v>
      </c>
      <c r="G545" s="16" t="s">
        <v>37</v>
      </c>
    </row>
    <row r="546" spans="1:7" x14ac:dyDescent="0.2">
      <c r="A546" s="7">
        <v>44864</v>
      </c>
      <c r="B546" s="13" t="str" cm="1">
        <f t="array" ref="B546">_xlfn.IFS(G546="Electronics","P001", G546="MRO","P002", G546="Office Supplies","P003", G546="Packaging","P004", G546="Raw Materials","P005")</f>
        <v>P001</v>
      </c>
      <c r="C546" s="8">
        <v>1198</v>
      </c>
      <c r="D546" s="8">
        <v>90.09</v>
      </c>
      <c r="E546" s="9">
        <v>0.94299999999999995</v>
      </c>
      <c r="F546" s="8" t="s">
        <v>5</v>
      </c>
      <c r="G546" s="15" t="s">
        <v>39</v>
      </c>
    </row>
    <row r="547" spans="1:7" x14ac:dyDescent="0.2">
      <c r="A547" s="10">
        <v>45129</v>
      </c>
      <c r="B547" s="13" t="str" cm="1">
        <f t="array" ref="B547">_xlfn.IFS(G547="Electronics","P001", G547="MRO","P002", G547="Office Supplies","P003", G547="Packaging","P004", G547="Raw Materials","P005")</f>
        <v>P005</v>
      </c>
      <c r="C547" s="11">
        <v>199</v>
      </c>
      <c r="D547" s="11">
        <v>45.64</v>
      </c>
      <c r="E547" s="9">
        <v>0.99199999999999999</v>
      </c>
      <c r="F547" s="11" t="s">
        <v>6</v>
      </c>
      <c r="G547" s="16" t="s">
        <v>38</v>
      </c>
    </row>
    <row r="548" spans="1:7" x14ac:dyDescent="0.2">
      <c r="A548" s="7">
        <v>44692</v>
      </c>
      <c r="B548" s="14" t="str" cm="1">
        <f t="array" ref="B548">_xlfn.IFS(G548="Electronics","P001", G548="MRO","P002", G548="Office Supplies","P003", G548="Packaging","P004", G548="Raw Materials","P005")</f>
        <v>P002</v>
      </c>
      <c r="C548" s="8">
        <v>363</v>
      </c>
      <c r="D548" s="8">
        <v>38.729999999999997</v>
      </c>
      <c r="E548" s="9">
        <v>0.98799999999999999</v>
      </c>
      <c r="F548" s="8" t="s">
        <v>5</v>
      </c>
      <c r="G548" s="15" t="s">
        <v>36</v>
      </c>
    </row>
    <row r="549" spans="1:7" x14ac:dyDescent="0.2">
      <c r="A549" s="10">
        <v>44758</v>
      </c>
      <c r="B549" s="13" t="str" cm="1">
        <f t="array" ref="B549">_xlfn.IFS(G549="Electronics","P001", G549="MRO","P002", G549="Office Supplies","P003", G549="Packaging","P004", G549="Raw Materials","P005")</f>
        <v>P003</v>
      </c>
      <c r="C549" s="11">
        <v>619</v>
      </c>
      <c r="D549" s="11">
        <v>51.04</v>
      </c>
      <c r="E549" s="9">
        <v>0.99199999999999999</v>
      </c>
      <c r="F549" s="11" t="s">
        <v>5</v>
      </c>
      <c r="G549" s="16" t="s">
        <v>35</v>
      </c>
    </row>
    <row r="550" spans="1:7" x14ac:dyDescent="0.2">
      <c r="A550" s="7">
        <v>44992</v>
      </c>
      <c r="B550" s="14" t="str" cm="1">
        <f t="array" ref="B550">_xlfn.IFS(G550="Electronics","P001", G550="MRO","P002", G550="Office Supplies","P003", G550="Packaging","P004", G550="Raw Materials","P005")</f>
        <v>P002</v>
      </c>
      <c r="C550" s="8">
        <v>1415</v>
      </c>
      <c r="D550" s="8">
        <v>13.56</v>
      </c>
      <c r="E550" s="9">
        <v>1.115</v>
      </c>
      <c r="F550" s="8" t="s">
        <v>5</v>
      </c>
      <c r="G550" s="15" t="s">
        <v>36</v>
      </c>
    </row>
    <row r="551" spans="1:7" x14ac:dyDescent="0.2">
      <c r="A551" s="10">
        <v>45242</v>
      </c>
      <c r="B551" s="13" t="str" cm="1">
        <f t="array" ref="B551">_xlfn.IFS(G551="Electronics","P001", G551="MRO","P002", G551="Office Supplies","P003", G551="Packaging","P004", G551="Raw Materials","P005")</f>
        <v>P004</v>
      </c>
      <c r="C551" s="11">
        <v>354</v>
      </c>
      <c r="D551" s="11">
        <v>23.87</v>
      </c>
      <c r="E551" s="9">
        <v>0.95299999999999996</v>
      </c>
      <c r="F551" s="11" t="s">
        <v>6</v>
      </c>
      <c r="G551" s="16" t="s">
        <v>37</v>
      </c>
    </row>
    <row r="552" spans="1:7" x14ac:dyDescent="0.2">
      <c r="A552" s="7">
        <v>44950</v>
      </c>
      <c r="B552" s="13" t="str" cm="1">
        <f t="array" ref="B552">_xlfn.IFS(G552="Electronics","P001", G552="MRO","P002", G552="Office Supplies","P003", G552="Packaging","P004", G552="Raw Materials","P005")</f>
        <v>P002</v>
      </c>
      <c r="C552" s="8">
        <v>1765</v>
      </c>
      <c r="D552" s="8">
        <v>78.430000000000007</v>
      </c>
      <c r="E552" s="9">
        <v>0.999</v>
      </c>
      <c r="F552" s="8" t="s">
        <v>5</v>
      </c>
      <c r="G552" s="15" t="s">
        <v>36</v>
      </c>
    </row>
    <row r="553" spans="1:7" x14ac:dyDescent="0.2">
      <c r="A553" s="10">
        <v>45255</v>
      </c>
      <c r="B553" s="14" t="str" cm="1">
        <f t="array" ref="B553">_xlfn.IFS(G553="Electronics","P001", G553="MRO","P002", G553="Office Supplies","P003", G553="Packaging","P004", G553="Raw Materials","P005")</f>
        <v>P002</v>
      </c>
      <c r="C553" s="11">
        <v>731</v>
      </c>
      <c r="D553" s="11">
        <v>17.3</v>
      </c>
      <c r="E553" s="9">
        <v>0.95299999999999996</v>
      </c>
      <c r="F553" s="11" t="s">
        <v>6</v>
      </c>
      <c r="G553" s="16" t="s">
        <v>36</v>
      </c>
    </row>
    <row r="554" spans="1:7" x14ac:dyDescent="0.2">
      <c r="A554" s="7">
        <v>44740</v>
      </c>
      <c r="B554" s="13" t="str" cm="1">
        <f t="array" ref="B554">_xlfn.IFS(G554="Electronics","P001", G554="MRO","P002", G554="Office Supplies","P003", G554="Packaging","P004", G554="Raw Materials","P005")</f>
        <v>P002</v>
      </c>
      <c r="C554" s="8">
        <v>887</v>
      </c>
      <c r="D554" s="8">
        <v>59.67</v>
      </c>
      <c r="E554" s="9">
        <v>0.89100000000000001</v>
      </c>
      <c r="F554" s="8" t="s">
        <v>5</v>
      </c>
      <c r="G554" s="15" t="s">
        <v>36</v>
      </c>
    </row>
    <row r="555" spans="1:7" x14ac:dyDescent="0.2">
      <c r="A555" s="10">
        <v>45192</v>
      </c>
      <c r="B555" s="14" t="str" cm="1">
        <f t="array" ref="B555">_xlfn.IFS(G555="Electronics","P001", G555="MRO","P002", G555="Office Supplies","P003", G555="Packaging","P004", G555="Raw Materials","P005")</f>
        <v>P002</v>
      </c>
      <c r="C555" s="11">
        <v>1856</v>
      </c>
      <c r="D555" s="11">
        <v>32.409999999999997</v>
      </c>
      <c r="E555" s="9">
        <v>0.98099999999999998</v>
      </c>
      <c r="F555" s="11" t="s">
        <v>5</v>
      </c>
      <c r="G555" s="16" t="s">
        <v>36</v>
      </c>
    </row>
    <row r="556" spans="1:7" x14ac:dyDescent="0.2">
      <c r="A556" s="7">
        <v>45144</v>
      </c>
      <c r="B556" s="13" t="str" cm="1">
        <f t="array" ref="B556">_xlfn.IFS(G556="Electronics","P001", G556="MRO","P002", G556="Office Supplies","P003", G556="Packaging","P004", G556="Raw Materials","P005")</f>
        <v>P003</v>
      </c>
      <c r="C556" s="8">
        <v>1127</v>
      </c>
      <c r="D556" s="8">
        <v>46.49</v>
      </c>
      <c r="E556" s="9">
        <v>0.96899999999999997</v>
      </c>
      <c r="F556" s="8" t="s">
        <v>5</v>
      </c>
      <c r="G556" s="15" t="s">
        <v>35</v>
      </c>
    </row>
    <row r="557" spans="1:7" x14ac:dyDescent="0.2">
      <c r="A557" s="10">
        <v>44870</v>
      </c>
      <c r="B557" s="13" t="str" cm="1">
        <f t="array" ref="B557">_xlfn.IFS(G557="Electronics","P001", G557="MRO","P002", G557="Office Supplies","P003", G557="Packaging","P004", G557="Raw Materials","P005")</f>
        <v>P005</v>
      </c>
      <c r="C557" s="11">
        <v>1052</v>
      </c>
      <c r="D557" s="11">
        <v>32.6</v>
      </c>
      <c r="E557" s="9">
        <v>0.95299999999999996</v>
      </c>
      <c r="F557" s="11" t="s">
        <v>5</v>
      </c>
      <c r="G557" s="16" t="s">
        <v>38</v>
      </c>
    </row>
    <row r="558" spans="1:7" x14ac:dyDescent="0.2">
      <c r="A558" s="7">
        <v>44977</v>
      </c>
      <c r="B558" s="14" t="str" cm="1">
        <f t="array" ref="B558">_xlfn.IFS(G558="Electronics","P001", G558="MRO","P002", G558="Office Supplies","P003", G558="Packaging","P004", G558="Raw Materials","P005")</f>
        <v>P005</v>
      </c>
      <c r="C558" s="8">
        <v>493</v>
      </c>
      <c r="D558" s="8">
        <v>41.44</v>
      </c>
      <c r="E558" s="9">
        <v>1.0920000000000001</v>
      </c>
      <c r="F558" s="8" t="s">
        <v>6</v>
      </c>
      <c r="G558" s="15" t="s">
        <v>38</v>
      </c>
    </row>
    <row r="559" spans="1:7" x14ac:dyDescent="0.2">
      <c r="A559" s="10">
        <v>45123</v>
      </c>
      <c r="B559" s="13" t="str" cm="1">
        <f t="array" ref="B559">_xlfn.IFS(G559="Electronics","P001", G559="MRO","P002", G559="Office Supplies","P003", G559="Packaging","P004", G559="Raw Materials","P005")</f>
        <v>P002</v>
      </c>
      <c r="C559" s="11">
        <v>662</v>
      </c>
      <c r="D559" s="11">
        <v>71.33</v>
      </c>
      <c r="E559" s="9">
        <v>0.99199999999999999</v>
      </c>
      <c r="F559" s="11" t="s">
        <v>5</v>
      </c>
      <c r="G559" s="16" t="s">
        <v>36</v>
      </c>
    </row>
    <row r="560" spans="1:7" x14ac:dyDescent="0.2">
      <c r="A560" s="7">
        <v>44562</v>
      </c>
      <c r="B560" s="14" t="str" cm="1">
        <f t="array" ref="B560">_xlfn.IFS(G560="Electronics","P001", G560="MRO","P002", G560="Office Supplies","P003", G560="Packaging","P004", G560="Raw Materials","P005")</f>
        <v>P005</v>
      </c>
      <c r="C560" s="8">
        <v>1042</v>
      </c>
      <c r="D560" s="8">
        <v>35.78</v>
      </c>
      <c r="E560" s="9">
        <v>0.999</v>
      </c>
      <c r="F560" s="8" t="s">
        <v>5</v>
      </c>
      <c r="G560" s="15" t="s">
        <v>38</v>
      </c>
    </row>
    <row r="561" spans="1:7" x14ac:dyDescent="0.2">
      <c r="A561" s="10">
        <v>44873</v>
      </c>
      <c r="B561" s="13" t="str" cm="1">
        <f t="array" ref="B561">_xlfn.IFS(G561="Electronics","P001", G561="MRO","P002", G561="Office Supplies","P003", G561="Packaging","P004", G561="Raw Materials","P005")</f>
        <v>P005</v>
      </c>
      <c r="C561" s="11">
        <v>313</v>
      </c>
      <c r="D561" s="11">
        <v>57.74</v>
      </c>
      <c r="E561" s="9">
        <v>0.95299999999999996</v>
      </c>
      <c r="F561" s="11" t="s">
        <v>5</v>
      </c>
      <c r="G561" s="16" t="s">
        <v>38</v>
      </c>
    </row>
    <row r="562" spans="1:7" x14ac:dyDescent="0.2">
      <c r="A562" s="7">
        <v>44855</v>
      </c>
      <c r="B562" s="13" t="str" cm="1">
        <f t="array" ref="B562">_xlfn.IFS(G562="Electronics","P001", G562="MRO","P002", G562="Office Supplies","P003", G562="Packaging","P004", G562="Raw Materials","P005")</f>
        <v>P003</v>
      </c>
      <c r="C562" s="8">
        <v>1126</v>
      </c>
      <c r="D562" s="8">
        <v>50.38</v>
      </c>
      <c r="E562" s="9">
        <v>0.94299999999999995</v>
      </c>
      <c r="F562" s="8" t="s">
        <v>5</v>
      </c>
      <c r="G562" s="15" t="s">
        <v>35</v>
      </c>
    </row>
    <row r="563" spans="1:7" x14ac:dyDescent="0.2">
      <c r="A563" s="10">
        <v>44777</v>
      </c>
      <c r="B563" s="14" t="str" cm="1">
        <f t="array" ref="B563">_xlfn.IFS(G563="Electronics","P001", G563="MRO","P002", G563="Office Supplies","P003", G563="Packaging","P004", G563="Raw Materials","P005")</f>
        <v>P002</v>
      </c>
      <c r="C563" s="11">
        <v>1645</v>
      </c>
      <c r="D563" s="11">
        <v>64</v>
      </c>
      <c r="E563" s="9">
        <v>0.96899999999999997</v>
      </c>
      <c r="F563" s="11" t="s">
        <v>5</v>
      </c>
      <c r="G563" s="16" t="s">
        <v>36</v>
      </c>
    </row>
    <row r="564" spans="1:7" x14ac:dyDescent="0.2">
      <c r="A564" s="7">
        <v>45002</v>
      </c>
      <c r="B564" s="13" t="str" cm="1">
        <f t="array" ref="B564">_xlfn.IFS(G564="Electronics","P001", G564="MRO","P002", G564="Office Supplies","P003", G564="Packaging","P004", G564="Raw Materials","P005")</f>
        <v>P004</v>
      </c>
      <c r="C564" s="8">
        <v>1053</v>
      </c>
      <c r="D564" s="8">
        <v>92.35</v>
      </c>
      <c r="E564" s="9">
        <v>1.115</v>
      </c>
      <c r="F564" s="8" t="s">
        <v>5</v>
      </c>
      <c r="G564" s="15" t="s">
        <v>37</v>
      </c>
    </row>
    <row r="565" spans="1:7" x14ac:dyDescent="0.2">
      <c r="A565" s="10">
        <v>45155</v>
      </c>
      <c r="B565" s="14" t="str" cm="1">
        <f t="array" ref="B565">_xlfn.IFS(G565="Electronics","P001", G565="MRO","P002", G565="Office Supplies","P003", G565="Packaging","P004", G565="Raw Materials","P005")</f>
        <v>P002</v>
      </c>
      <c r="C565" s="11">
        <v>1693</v>
      </c>
      <c r="D565" s="11">
        <v>73.3</v>
      </c>
      <c r="E565" s="9">
        <v>0.96899999999999997</v>
      </c>
      <c r="F565" s="11" t="s">
        <v>5</v>
      </c>
      <c r="G565" s="16" t="s">
        <v>36</v>
      </c>
    </row>
    <row r="566" spans="1:7" x14ac:dyDescent="0.2">
      <c r="A566" s="7">
        <v>45183</v>
      </c>
      <c r="B566" s="13" t="str" cm="1">
        <f t="array" ref="B566">_xlfn.IFS(G566="Electronics","P001", G566="MRO","P002", G566="Office Supplies","P003", G566="Packaging","P004", G566="Raw Materials","P005")</f>
        <v>P005</v>
      </c>
      <c r="C566" s="8">
        <v>54</v>
      </c>
      <c r="D566" s="8">
        <v>28.65</v>
      </c>
      <c r="E566" s="9">
        <v>0.98099999999999998</v>
      </c>
      <c r="F566" s="8" t="s">
        <v>5</v>
      </c>
      <c r="G566" s="15" t="s">
        <v>38</v>
      </c>
    </row>
    <row r="567" spans="1:7" x14ac:dyDescent="0.2">
      <c r="A567" s="10">
        <v>45232</v>
      </c>
      <c r="B567" s="13" t="str" cm="1">
        <f t="array" ref="B567">_xlfn.IFS(G567="Electronics","P001", G567="MRO","P002", G567="Office Supplies","P003", G567="Packaging","P004", G567="Raw Materials","P005")</f>
        <v>P004</v>
      </c>
      <c r="C567" s="11">
        <v>1176</v>
      </c>
      <c r="D567" s="11">
        <v>12.21</v>
      </c>
      <c r="E567" s="9">
        <v>0.95299999999999996</v>
      </c>
      <c r="F567" s="11" t="s">
        <v>5</v>
      </c>
      <c r="G567" s="16" t="s">
        <v>37</v>
      </c>
    </row>
    <row r="568" spans="1:7" x14ac:dyDescent="0.2">
      <c r="A568" s="7">
        <v>44891</v>
      </c>
      <c r="B568" s="14" t="str" cm="1">
        <f t="array" ref="B568">_xlfn.IFS(G568="Electronics","P001", G568="MRO","P002", G568="Office Supplies","P003", G568="Packaging","P004", G568="Raw Materials","P005")</f>
        <v>P005</v>
      </c>
      <c r="C568" s="8">
        <v>1269</v>
      </c>
      <c r="D568" s="8">
        <v>33.700000000000003</v>
      </c>
      <c r="E568" s="9">
        <v>0.95299999999999996</v>
      </c>
      <c r="F568" s="8" t="s">
        <v>5</v>
      </c>
      <c r="G568" s="15" t="s">
        <v>38</v>
      </c>
    </row>
    <row r="569" spans="1:7" x14ac:dyDescent="0.2">
      <c r="A569" s="10">
        <v>45038</v>
      </c>
      <c r="B569" s="13" t="str" cm="1">
        <f t="array" ref="B569">_xlfn.IFS(G569="Electronics","P001", G569="MRO","P002", G569="Office Supplies","P003", G569="Packaging","P004", G569="Raw Materials","P005")</f>
        <v>P005</v>
      </c>
      <c r="C569" s="11">
        <v>823</v>
      </c>
      <c r="D569" s="11">
        <v>64.459999999999994</v>
      </c>
      <c r="E569" s="9">
        <v>1.032</v>
      </c>
      <c r="F569" s="11" t="s">
        <v>5</v>
      </c>
      <c r="G569" s="16" t="s">
        <v>38</v>
      </c>
    </row>
    <row r="570" spans="1:7" x14ac:dyDescent="0.2">
      <c r="A570" s="7">
        <v>45014</v>
      </c>
      <c r="B570" s="14" t="str" cm="1">
        <f t="array" ref="B570">_xlfn.IFS(G570="Electronics","P001", G570="MRO","P002", G570="Office Supplies","P003", G570="Packaging","P004", G570="Raw Materials","P005")</f>
        <v>P001</v>
      </c>
      <c r="C570" s="8">
        <v>926</v>
      </c>
      <c r="D570" s="8">
        <v>13.49</v>
      </c>
      <c r="E570" s="9">
        <v>1.115</v>
      </c>
      <c r="F570" s="8" t="s">
        <v>6</v>
      </c>
      <c r="G570" s="15" t="s">
        <v>39</v>
      </c>
    </row>
    <row r="571" spans="1:7" x14ac:dyDescent="0.2">
      <c r="A571" s="10">
        <v>45014</v>
      </c>
      <c r="B571" s="13" t="str" cm="1">
        <f t="array" ref="B571">_xlfn.IFS(G571="Electronics","P001", G571="MRO","P002", G571="Office Supplies","P003", G571="Packaging","P004", G571="Raw Materials","P005")</f>
        <v>P001</v>
      </c>
      <c r="C571" s="11">
        <v>1041</v>
      </c>
      <c r="D571" s="11">
        <v>52.54</v>
      </c>
      <c r="E571" s="9">
        <v>1.115</v>
      </c>
      <c r="F571" s="11" t="s">
        <v>6</v>
      </c>
      <c r="G571" s="16" t="s">
        <v>39</v>
      </c>
    </row>
    <row r="572" spans="1:7" x14ac:dyDescent="0.2">
      <c r="A572" s="7">
        <v>45253</v>
      </c>
      <c r="B572" s="13" t="str" cm="1">
        <f t="array" ref="B572">_xlfn.IFS(G572="Electronics","P001", G572="MRO","P002", G572="Office Supplies","P003", G572="Packaging","P004", G572="Raw Materials","P005")</f>
        <v>P001</v>
      </c>
      <c r="C572" s="8">
        <v>933</v>
      </c>
      <c r="D572" s="8">
        <v>65.47</v>
      </c>
      <c r="E572" s="9">
        <v>0.95299999999999996</v>
      </c>
      <c r="F572" s="8" t="s">
        <v>5</v>
      </c>
      <c r="G572" s="15" t="s">
        <v>39</v>
      </c>
    </row>
    <row r="573" spans="1:7" x14ac:dyDescent="0.2">
      <c r="A573" s="10">
        <v>44780</v>
      </c>
      <c r="B573" s="14" t="str" cm="1">
        <f t="array" ref="B573">_xlfn.IFS(G573="Electronics","P001", G573="MRO","P002", G573="Office Supplies","P003", G573="Packaging","P004", G573="Raw Materials","P005")</f>
        <v>P005</v>
      </c>
      <c r="C573" s="11">
        <v>1423</v>
      </c>
      <c r="D573" s="11">
        <v>40.9</v>
      </c>
      <c r="E573" s="9">
        <v>0.96899999999999997</v>
      </c>
      <c r="F573" s="11" t="s">
        <v>5</v>
      </c>
      <c r="G573" s="16" t="s">
        <v>38</v>
      </c>
    </row>
    <row r="574" spans="1:7" x14ac:dyDescent="0.2">
      <c r="A574" s="7">
        <v>45085</v>
      </c>
      <c r="B574" s="13" t="str" cm="1">
        <f t="array" ref="B574">_xlfn.IFS(G574="Electronics","P001", G574="MRO","P002", G574="Office Supplies","P003", G574="Packaging","P004", G574="Raw Materials","P005")</f>
        <v>P002</v>
      </c>
      <c r="C574" s="8">
        <v>96</v>
      </c>
      <c r="D574" s="8">
        <v>80.319999999999993</v>
      </c>
      <c r="E574" s="9">
        <v>0.89100000000000001</v>
      </c>
      <c r="F574" s="8" t="s">
        <v>6</v>
      </c>
      <c r="G574" s="15" t="s">
        <v>36</v>
      </c>
    </row>
    <row r="575" spans="1:7" x14ac:dyDescent="0.2">
      <c r="A575" s="10">
        <v>45046</v>
      </c>
      <c r="B575" s="14" t="str" cm="1">
        <f t="array" ref="B575">_xlfn.IFS(G575="Electronics","P001", G575="MRO","P002", G575="Office Supplies","P003", G575="Packaging","P004", G575="Raw Materials","P005")</f>
        <v>P002</v>
      </c>
      <c r="C575" s="11">
        <v>916</v>
      </c>
      <c r="D575" s="11">
        <v>19.53</v>
      </c>
      <c r="E575" s="9">
        <v>1.032</v>
      </c>
      <c r="F575" s="11" t="s">
        <v>5</v>
      </c>
      <c r="G575" s="16" t="s">
        <v>36</v>
      </c>
    </row>
    <row r="576" spans="1:7" x14ac:dyDescent="0.2">
      <c r="A576" s="7">
        <v>44735</v>
      </c>
      <c r="B576" s="13" t="str" cm="1">
        <f t="array" ref="B576">_xlfn.IFS(G576="Electronics","P001", G576="MRO","P002", G576="Office Supplies","P003", G576="Packaging","P004", G576="Raw Materials","P005")</f>
        <v>P005</v>
      </c>
      <c r="C576" s="8">
        <v>872</v>
      </c>
      <c r="D576" s="8">
        <v>16.63</v>
      </c>
      <c r="E576" s="9">
        <v>0.89100000000000001</v>
      </c>
      <c r="F576" s="8" t="s">
        <v>5</v>
      </c>
      <c r="G576" s="15" t="s">
        <v>38</v>
      </c>
    </row>
    <row r="577" spans="1:7" x14ac:dyDescent="0.2">
      <c r="A577" s="10">
        <v>45236</v>
      </c>
      <c r="B577" s="13" t="str" cm="1">
        <f t="array" ref="B577">_xlfn.IFS(G577="Electronics","P001", G577="MRO","P002", G577="Office Supplies","P003", G577="Packaging","P004", G577="Raw Materials","P005")</f>
        <v>P001</v>
      </c>
      <c r="C577" s="11">
        <v>985</v>
      </c>
      <c r="D577" s="11">
        <v>80.88</v>
      </c>
      <c r="E577" s="9">
        <v>0.95299999999999996</v>
      </c>
      <c r="F577" s="11" t="s">
        <v>6</v>
      </c>
      <c r="G577" s="16" t="s">
        <v>39</v>
      </c>
    </row>
    <row r="578" spans="1:7" x14ac:dyDescent="0.2">
      <c r="A578" s="7">
        <v>44648</v>
      </c>
      <c r="B578" s="14" t="str" cm="1">
        <f t="array" ref="B578">_xlfn.IFS(G578="Electronics","P001", G578="MRO","P002", G578="Office Supplies","P003", G578="Packaging","P004", G578="Raw Materials","P005")</f>
        <v>P005</v>
      </c>
      <c r="C578" s="8">
        <v>1893</v>
      </c>
      <c r="D578" s="8">
        <v>50.1</v>
      </c>
      <c r="E578" s="9">
        <v>1.115</v>
      </c>
      <c r="F578" s="8" t="s">
        <v>5</v>
      </c>
      <c r="G578" s="15" t="s">
        <v>38</v>
      </c>
    </row>
    <row r="579" spans="1:7" x14ac:dyDescent="0.2">
      <c r="A579" s="10">
        <v>44852</v>
      </c>
      <c r="B579" s="13" t="str" cm="1">
        <f t="array" ref="B579">_xlfn.IFS(G579="Electronics","P001", G579="MRO","P002", G579="Office Supplies","P003", G579="Packaging","P004", G579="Raw Materials","P005")</f>
        <v>P002</v>
      </c>
      <c r="C579" s="11">
        <v>705</v>
      </c>
      <c r="D579" s="11">
        <v>69.55</v>
      </c>
      <c r="E579" s="9">
        <v>0.94299999999999995</v>
      </c>
      <c r="F579" s="11" t="s">
        <v>5</v>
      </c>
      <c r="G579" s="16" t="s">
        <v>36</v>
      </c>
    </row>
    <row r="580" spans="1:7" x14ac:dyDescent="0.2">
      <c r="A580" s="7">
        <v>45089</v>
      </c>
      <c r="B580" s="14" t="str" cm="1">
        <f t="array" ref="B580">_xlfn.IFS(G580="Electronics","P001", G580="MRO","P002", G580="Office Supplies","P003", G580="Packaging","P004", G580="Raw Materials","P005")</f>
        <v>P002</v>
      </c>
      <c r="C580" s="8">
        <v>318</v>
      </c>
      <c r="D580" s="8">
        <v>51.78</v>
      </c>
      <c r="E580" s="9">
        <v>0.89100000000000001</v>
      </c>
      <c r="F580" s="8" t="s">
        <v>6</v>
      </c>
      <c r="G580" s="15" t="s">
        <v>36</v>
      </c>
    </row>
    <row r="581" spans="1:7" x14ac:dyDescent="0.2">
      <c r="A581" s="10">
        <v>45241</v>
      </c>
      <c r="B581" s="13" t="str" cm="1">
        <f t="array" ref="B581">_xlfn.IFS(G581="Electronics","P001", G581="MRO","P002", G581="Office Supplies","P003", G581="Packaging","P004", G581="Raw Materials","P005")</f>
        <v>P003</v>
      </c>
      <c r="C581" s="11">
        <v>419</v>
      </c>
      <c r="D581" s="11">
        <v>32.74</v>
      </c>
      <c r="E581" s="9">
        <v>0.95299999999999996</v>
      </c>
      <c r="F581" s="11" t="s">
        <v>5</v>
      </c>
      <c r="G581" s="16" t="s">
        <v>35</v>
      </c>
    </row>
    <row r="582" spans="1:7" x14ac:dyDescent="0.2">
      <c r="A582" s="7">
        <v>45210</v>
      </c>
      <c r="B582" s="13" t="str" cm="1">
        <f t="array" ref="B582">_xlfn.IFS(G582="Electronics","P001", G582="MRO","P002", G582="Office Supplies","P003", G582="Packaging","P004", G582="Raw Materials","P005")</f>
        <v>P002</v>
      </c>
      <c r="C582" s="8">
        <v>685</v>
      </c>
      <c r="D582" s="8">
        <v>90.05</v>
      </c>
      <c r="E582" s="9">
        <v>0.94299999999999995</v>
      </c>
      <c r="F582" s="8" t="s">
        <v>5</v>
      </c>
      <c r="G582" s="15" t="s">
        <v>36</v>
      </c>
    </row>
    <row r="583" spans="1:7" x14ac:dyDescent="0.2">
      <c r="A583" s="10">
        <v>45196</v>
      </c>
      <c r="B583" s="14" t="str" cm="1">
        <f t="array" ref="B583">_xlfn.IFS(G583="Electronics","P001", G583="MRO","P002", G583="Office Supplies","P003", G583="Packaging","P004", G583="Raw Materials","P005")</f>
        <v>P003</v>
      </c>
      <c r="C583" s="11">
        <v>1179</v>
      </c>
      <c r="D583" s="11">
        <v>82.63</v>
      </c>
      <c r="E583" s="9">
        <v>0.98099999999999998</v>
      </c>
      <c r="F583" s="11" t="s">
        <v>5</v>
      </c>
      <c r="G583" s="16" t="s">
        <v>35</v>
      </c>
    </row>
    <row r="584" spans="1:7" x14ac:dyDescent="0.2">
      <c r="A584" s="7">
        <v>44905</v>
      </c>
      <c r="B584" s="13" t="str" cm="1">
        <f t="array" ref="B584">_xlfn.IFS(G584="Electronics","P001", G584="MRO","P002", G584="Office Supplies","P003", G584="Packaging","P004", G584="Raw Materials","P005")</f>
        <v>P005</v>
      </c>
      <c r="C584" s="8">
        <v>1743</v>
      </c>
      <c r="D584" s="8">
        <v>65.88</v>
      </c>
      <c r="E584" s="9">
        <v>1.032</v>
      </c>
      <c r="F584" s="8" t="s">
        <v>5</v>
      </c>
      <c r="G584" s="15" t="s">
        <v>38</v>
      </c>
    </row>
    <row r="585" spans="1:7" x14ac:dyDescent="0.2">
      <c r="A585" s="10">
        <v>44657</v>
      </c>
      <c r="B585" s="14" t="str" cm="1">
        <f t="array" ref="B585">_xlfn.IFS(G585="Electronics","P001", G585="MRO","P002", G585="Office Supplies","P003", G585="Packaging","P004", G585="Raw Materials","P005")</f>
        <v>P002</v>
      </c>
      <c r="C585" s="11">
        <v>1732</v>
      </c>
      <c r="D585" s="11">
        <v>34.18</v>
      </c>
      <c r="E585" s="9">
        <v>1.032</v>
      </c>
      <c r="F585" s="11" t="s">
        <v>5</v>
      </c>
      <c r="G585" s="16" t="s">
        <v>36</v>
      </c>
    </row>
    <row r="586" spans="1:7" x14ac:dyDescent="0.2">
      <c r="A586" s="7">
        <v>44802</v>
      </c>
      <c r="B586" s="13" t="str" cm="1">
        <f t="array" ref="B586">_xlfn.IFS(G586="Electronics","P001", G586="MRO","P002", G586="Office Supplies","P003", G586="Packaging","P004", G586="Raw Materials","P005")</f>
        <v>P003</v>
      </c>
      <c r="C586" s="8">
        <v>706</v>
      </c>
      <c r="D586" s="8">
        <v>62.06</v>
      </c>
      <c r="E586" s="9">
        <v>0.96899999999999997</v>
      </c>
      <c r="F586" s="8" t="s">
        <v>6</v>
      </c>
      <c r="G586" s="15" t="s">
        <v>35</v>
      </c>
    </row>
    <row r="587" spans="1:7" x14ac:dyDescent="0.2">
      <c r="A587" s="10">
        <v>45250</v>
      </c>
      <c r="B587" s="13" t="str" cm="1">
        <f t="array" ref="B587">_xlfn.IFS(G587="Electronics","P001", G587="MRO","P002", G587="Office Supplies","P003", G587="Packaging","P004", G587="Raw Materials","P005")</f>
        <v>P002</v>
      </c>
      <c r="C587" s="11">
        <v>169</v>
      </c>
      <c r="D587" s="11">
        <v>43.4</v>
      </c>
      <c r="E587" s="9">
        <v>0.95299999999999996</v>
      </c>
      <c r="F587" s="11" t="s">
        <v>5</v>
      </c>
      <c r="G587" s="16" t="s">
        <v>36</v>
      </c>
    </row>
    <row r="588" spans="1:7" x14ac:dyDescent="0.2">
      <c r="A588" s="7">
        <v>44879</v>
      </c>
      <c r="B588" s="14" t="str" cm="1">
        <f t="array" ref="B588">_xlfn.IFS(G588="Electronics","P001", G588="MRO","P002", G588="Office Supplies","P003", G588="Packaging","P004", G588="Raw Materials","P005")</f>
        <v>P003</v>
      </c>
      <c r="C588" s="8">
        <v>880</v>
      </c>
      <c r="D588" s="8">
        <v>18.690000000000001</v>
      </c>
      <c r="E588" s="9">
        <v>0.95299999999999996</v>
      </c>
      <c r="F588" s="8" t="s">
        <v>6</v>
      </c>
      <c r="G588" s="15" t="s">
        <v>35</v>
      </c>
    </row>
    <row r="589" spans="1:7" x14ac:dyDescent="0.2">
      <c r="A589" s="10">
        <v>44792</v>
      </c>
      <c r="B589" s="13" t="str" cm="1">
        <f t="array" ref="B589">_xlfn.IFS(G589="Electronics","P001", G589="MRO","P002", G589="Office Supplies","P003", G589="Packaging","P004", G589="Raw Materials","P005")</f>
        <v>P002</v>
      </c>
      <c r="C589" s="11">
        <v>1860</v>
      </c>
      <c r="D589" s="11">
        <v>92.17</v>
      </c>
      <c r="E589" s="9">
        <v>0.96899999999999997</v>
      </c>
      <c r="F589" s="11" t="s">
        <v>6</v>
      </c>
      <c r="G589" s="16" t="s">
        <v>36</v>
      </c>
    </row>
    <row r="590" spans="1:7" x14ac:dyDescent="0.2">
      <c r="A590" s="7">
        <v>44765</v>
      </c>
      <c r="B590" s="14" t="str" cm="1">
        <f t="array" ref="B590">_xlfn.IFS(G590="Electronics","P001", G590="MRO","P002", G590="Office Supplies","P003", G590="Packaging","P004", G590="Raw Materials","P005")</f>
        <v>P002</v>
      </c>
      <c r="C590" s="8">
        <v>1677</v>
      </c>
      <c r="D590" s="8">
        <v>21.71</v>
      </c>
      <c r="E590" s="9">
        <v>0.99199999999999999</v>
      </c>
      <c r="F590" s="8" t="s">
        <v>5</v>
      </c>
      <c r="G590" s="15" t="s">
        <v>36</v>
      </c>
    </row>
    <row r="591" spans="1:7" x14ac:dyDescent="0.2">
      <c r="A591" s="10">
        <v>44712</v>
      </c>
      <c r="B591" s="13" t="str" cm="1">
        <f t="array" ref="B591">_xlfn.IFS(G591="Electronics","P001", G591="MRO","P002", G591="Office Supplies","P003", G591="Packaging","P004", G591="Raw Materials","P005")</f>
        <v>P004</v>
      </c>
      <c r="C591" s="11">
        <v>1131</v>
      </c>
      <c r="D591" s="11">
        <v>91.28</v>
      </c>
      <c r="E591" s="9">
        <v>0.98799999999999999</v>
      </c>
      <c r="F591" s="11" t="s">
        <v>5</v>
      </c>
      <c r="G591" s="16" t="s">
        <v>37</v>
      </c>
    </row>
    <row r="592" spans="1:7" x14ac:dyDescent="0.2">
      <c r="A592" s="7">
        <v>44587</v>
      </c>
      <c r="B592" s="13" t="str" cm="1">
        <f t="array" ref="B592">_xlfn.IFS(G592="Electronics","P001", G592="MRO","P002", G592="Office Supplies","P003", G592="Packaging","P004", G592="Raw Materials","P005")</f>
        <v>P005</v>
      </c>
      <c r="C592" s="8">
        <v>1419</v>
      </c>
      <c r="D592" s="8">
        <v>43.46</v>
      </c>
      <c r="E592" s="9">
        <v>0.999</v>
      </c>
      <c r="F592" s="8" t="s">
        <v>5</v>
      </c>
      <c r="G592" s="15" t="s">
        <v>38</v>
      </c>
    </row>
    <row r="593" spans="1:7" x14ac:dyDescent="0.2">
      <c r="A593" s="10">
        <v>44609</v>
      </c>
      <c r="B593" s="14" t="str" cm="1">
        <f t="array" ref="B593">_xlfn.IFS(G593="Electronics","P001", G593="MRO","P002", G593="Office Supplies","P003", G593="Packaging","P004", G593="Raw Materials","P005")</f>
        <v>P005</v>
      </c>
      <c r="C593" s="11">
        <v>790</v>
      </c>
      <c r="D593" s="11">
        <v>25.62</v>
      </c>
      <c r="E593" s="9">
        <v>1.0920000000000001</v>
      </c>
      <c r="F593" s="11" t="s">
        <v>5</v>
      </c>
      <c r="G593" s="16" t="s">
        <v>38</v>
      </c>
    </row>
    <row r="594" spans="1:7" x14ac:dyDescent="0.2">
      <c r="A594" s="7">
        <v>44812</v>
      </c>
      <c r="B594" s="13" t="str" cm="1">
        <f t="array" ref="B594">_xlfn.IFS(G594="Electronics","P001", G594="MRO","P002", G594="Office Supplies","P003", G594="Packaging","P004", G594="Raw Materials","P005")</f>
        <v>P002</v>
      </c>
      <c r="C594" s="8">
        <v>1547</v>
      </c>
      <c r="D594" s="8">
        <v>53.43</v>
      </c>
      <c r="E594" s="9">
        <v>0.98099999999999998</v>
      </c>
      <c r="F594" s="8" t="s">
        <v>5</v>
      </c>
      <c r="G594" s="15" t="s">
        <v>36</v>
      </c>
    </row>
    <row r="595" spans="1:7" x14ac:dyDescent="0.2">
      <c r="A595" s="10">
        <v>45048</v>
      </c>
      <c r="B595" s="14" t="str" cm="1">
        <f t="array" ref="B595">_xlfn.IFS(G595="Electronics","P001", G595="MRO","P002", G595="Office Supplies","P003", G595="Packaging","P004", G595="Raw Materials","P005")</f>
        <v>P003</v>
      </c>
      <c r="C595" s="11">
        <v>166</v>
      </c>
      <c r="D595" s="11">
        <v>94.48</v>
      </c>
      <c r="E595" s="9">
        <v>0.98799999999999999</v>
      </c>
      <c r="F595" s="11" t="s">
        <v>5</v>
      </c>
      <c r="G595" s="16" t="s">
        <v>35</v>
      </c>
    </row>
    <row r="596" spans="1:7" x14ac:dyDescent="0.2">
      <c r="A596" s="7">
        <v>45187</v>
      </c>
      <c r="B596" s="13" t="str" cm="1">
        <f t="array" ref="B596">_xlfn.IFS(G596="Electronics","P001", G596="MRO","P002", G596="Office Supplies","P003", G596="Packaging","P004", G596="Raw Materials","P005")</f>
        <v>P001</v>
      </c>
      <c r="C596" s="8">
        <v>1903</v>
      </c>
      <c r="D596" s="8">
        <v>82.33</v>
      </c>
      <c r="E596" s="9">
        <v>0.98099999999999998</v>
      </c>
      <c r="F596" s="8" t="s">
        <v>5</v>
      </c>
      <c r="G596" s="15" t="s">
        <v>39</v>
      </c>
    </row>
    <row r="597" spans="1:7" x14ac:dyDescent="0.2">
      <c r="A597" s="10">
        <v>44636</v>
      </c>
      <c r="B597" s="13" t="str" cm="1">
        <f t="array" ref="B597">_xlfn.IFS(G597="Electronics","P001", G597="MRO","P002", G597="Office Supplies","P003", G597="Packaging","P004", G597="Raw Materials","P005")</f>
        <v>P003</v>
      </c>
      <c r="C597" s="11">
        <v>840</v>
      </c>
      <c r="D597" s="11">
        <v>80.349999999999994</v>
      </c>
      <c r="E597" s="9">
        <v>1.115</v>
      </c>
      <c r="F597" s="11" t="s">
        <v>5</v>
      </c>
      <c r="G597" s="16" t="s">
        <v>35</v>
      </c>
    </row>
    <row r="598" spans="1:7" x14ac:dyDescent="0.2">
      <c r="A598" s="7">
        <v>45028</v>
      </c>
      <c r="B598" s="14" t="str" cm="1">
        <f t="array" ref="B598">_xlfn.IFS(G598="Electronics","P001", G598="MRO","P002", G598="Office Supplies","P003", G598="Packaging","P004", G598="Raw Materials","P005")</f>
        <v>P002</v>
      </c>
      <c r="C598" s="8">
        <v>1200</v>
      </c>
      <c r="D598" s="8">
        <v>64.63</v>
      </c>
      <c r="E598" s="9">
        <v>1.032</v>
      </c>
      <c r="F598" s="8" t="s">
        <v>5</v>
      </c>
      <c r="G598" s="15" t="s">
        <v>36</v>
      </c>
    </row>
    <row r="599" spans="1:7" x14ac:dyDescent="0.2">
      <c r="A599" s="10">
        <v>44986</v>
      </c>
      <c r="B599" s="13" t="str" cm="1">
        <f t="array" ref="B599">_xlfn.IFS(G599="Electronics","P001", G599="MRO","P002", G599="Office Supplies","P003", G599="Packaging","P004", G599="Raw Materials","P005")</f>
        <v>P005</v>
      </c>
      <c r="C599" s="11">
        <v>1466</v>
      </c>
      <c r="D599" s="11">
        <v>70.349999999999994</v>
      </c>
      <c r="E599" s="9">
        <v>1.115</v>
      </c>
      <c r="F599" s="11" t="s">
        <v>5</v>
      </c>
      <c r="G599" s="16" t="s">
        <v>38</v>
      </c>
    </row>
    <row r="600" spans="1:7" x14ac:dyDescent="0.2">
      <c r="A600" s="7">
        <v>45206</v>
      </c>
      <c r="B600" s="14" t="str" cm="1">
        <f t="array" ref="B600">_xlfn.IFS(G600="Electronics","P001", G600="MRO","P002", G600="Office Supplies","P003", G600="Packaging","P004", G600="Raw Materials","P005")</f>
        <v>P003</v>
      </c>
      <c r="C600" s="8">
        <v>1981</v>
      </c>
      <c r="D600" s="8">
        <v>94.39</v>
      </c>
      <c r="E600" s="9">
        <v>0.94299999999999995</v>
      </c>
      <c r="F600" s="8" t="s">
        <v>5</v>
      </c>
      <c r="G600" s="15" t="s">
        <v>35</v>
      </c>
    </row>
    <row r="601" spans="1:7" x14ac:dyDescent="0.2">
      <c r="A601" s="10">
        <v>45151</v>
      </c>
      <c r="B601" s="13" t="str" cm="1">
        <f t="array" ref="B601">_xlfn.IFS(G601="Electronics","P001", G601="MRO","P002", G601="Office Supplies","P003", G601="Packaging","P004", G601="Raw Materials","P005")</f>
        <v>P004</v>
      </c>
      <c r="C601" s="11">
        <v>1062</v>
      </c>
      <c r="D601" s="11">
        <v>32.380000000000003</v>
      </c>
      <c r="E601" s="9">
        <v>0.96899999999999997</v>
      </c>
      <c r="F601" s="11" t="s">
        <v>5</v>
      </c>
      <c r="G601" s="16" t="s">
        <v>37</v>
      </c>
    </row>
    <row r="602" spans="1:7" x14ac:dyDescent="0.2">
      <c r="A602" s="7">
        <v>44761</v>
      </c>
      <c r="B602" s="13" t="str" cm="1">
        <f t="array" ref="B602">_xlfn.IFS(G602="Electronics","P001", G602="MRO","P002", G602="Office Supplies","P003", G602="Packaging","P004", G602="Raw Materials","P005")</f>
        <v>P002</v>
      </c>
      <c r="C602" s="8">
        <v>1714</v>
      </c>
      <c r="D602" s="8">
        <v>55.09</v>
      </c>
      <c r="E602" s="9">
        <v>0.99199999999999999</v>
      </c>
      <c r="F602" s="8" t="s">
        <v>5</v>
      </c>
      <c r="G602" s="15" t="s">
        <v>36</v>
      </c>
    </row>
    <row r="603" spans="1:7" x14ac:dyDescent="0.2">
      <c r="A603" s="10">
        <v>45275</v>
      </c>
      <c r="B603" s="14" t="str" cm="1">
        <f t="array" ref="B603">_xlfn.IFS(G603="Electronics","P001", G603="MRO","P002", G603="Office Supplies","P003", G603="Packaging","P004", G603="Raw Materials","P005")</f>
        <v>P003</v>
      </c>
      <c r="C603" s="11">
        <v>1131</v>
      </c>
      <c r="D603" s="11">
        <v>31.28</v>
      </c>
      <c r="E603" s="9">
        <v>1.032</v>
      </c>
      <c r="F603" s="11" t="s">
        <v>5</v>
      </c>
      <c r="G603" s="16" t="s">
        <v>35</v>
      </c>
    </row>
    <row r="604" spans="1:7" x14ac:dyDescent="0.2">
      <c r="A604" s="7">
        <v>44955</v>
      </c>
      <c r="B604" s="13" t="str" cm="1">
        <f t="array" ref="B604">_xlfn.IFS(G604="Electronics","P001", G604="MRO","P002", G604="Office Supplies","P003", G604="Packaging","P004", G604="Raw Materials","P005")</f>
        <v>P003</v>
      </c>
      <c r="C604" s="8">
        <v>683</v>
      </c>
      <c r="D604" s="8">
        <v>101.34</v>
      </c>
      <c r="E604" s="9">
        <v>0.999</v>
      </c>
      <c r="F604" s="8" t="s">
        <v>5</v>
      </c>
      <c r="G604" s="15" t="s">
        <v>35</v>
      </c>
    </row>
    <row r="605" spans="1:7" x14ac:dyDescent="0.2">
      <c r="A605" s="10">
        <v>45068</v>
      </c>
      <c r="B605" s="14" t="str" cm="1">
        <f t="array" ref="B605">_xlfn.IFS(G605="Electronics","P001", G605="MRO","P002", G605="Office Supplies","P003", G605="Packaging","P004", G605="Raw Materials","P005")</f>
        <v>P004</v>
      </c>
      <c r="C605" s="11">
        <v>562</v>
      </c>
      <c r="D605" s="11">
        <v>90.88</v>
      </c>
      <c r="E605" s="9">
        <v>0.98799999999999999</v>
      </c>
      <c r="F605" s="11" t="s">
        <v>5</v>
      </c>
      <c r="G605" s="16" t="s">
        <v>37</v>
      </c>
    </row>
    <row r="606" spans="1:7" x14ac:dyDescent="0.2">
      <c r="A606" s="7">
        <v>44971</v>
      </c>
      <c r="B606" s="13" t="str" cm="1">
        <f t="array" ref="B606">_xlfn.IFS(G606="Electronics","P001", G606="MRO","P002", G606="Office Supplies","P003", G606="Packaging","P004", G606="Raw Materials","P005")</f>
        <v>P001</v>
      </c>
      <c r="C606" s="8">
        <v>1824</v>
      </c>
      <c r="D606" s="8">
        <v>14.11</v>
      </c>
      <c r="E606" s="9">
        <v>1.0920000000000001</v>
      </c>
      <c r="F606" s="8" t="s">
        <v>5</v>
      </c>
      <c r="G606" s="15" t="s">
        <v>39</v>
      </c>
    </row>
    <row r="607" spans="1:7" x14ac:dyDescent="0.2">
      <c r="A607" s="10">
        <v>44811</v>
      </c>
      <c r="B607" s="13" t="str" cm="1">
        <f t="array" ref="B607">_xlfn.IFS(G607="Electronics","P001", G607="MRO","P002", G607="Office Supplies","P003", G607="Packaging","P004", G607="Raw Materials","P005")</f>
        <v>P001</v>
      </c>
      <c r="C607" s="11">
        <v>851</v>
      </c>
      <c r="D607" s="11">
        <v>74.760000000000005</v>
      </c>
      <c r="E607" s="9">
        <v>0.98099999999999998</v>
      </c>
      <c r="F607" s="11" t="s">
        <v>5</v>
      </c>
      <c r="G607" s="16" t="s">
        <v>39</v>
      </c>
    </row>
    <row r="608" spans="1:7" x14ac:dyDescent="0.2">
      <c r="A608" s="7">
        <v>44713</v>
      </c>
      <c r="B608" s="14" t="str" cm="1">
        <f t="array" ref="B608">_xlfn.IFS(G608="Electronics","P001", G608="MRO","P002", G608="Office Supplies","P003", G608="Packaging","P004", G608="Raw Materials","P005")</f>
        <v>P003</v>
      </c>
      <c r="C608" s="8">
        <v>1169</v>
      </c>
      <c r="D608" s="8">
        <v>82.16</v>
      </c>
      <c r="E608" s="9">
        <v>0.89100000000000001</v>
      </c>
      <c r="F608" s="8" t="s">
        <v>5</v>
      </c>
      <c r="G608" s="15" t="s">
        <v>35</v>
      </c>
    </row>
    <row r="609" spans="1:7" x14ac:dyDescent="0.2">
      <c r="A609" s="10">
        <v>45233</v>
      </c>
      <c r="B609" s="13" t="str" cm="1">
        <f t="array" ref="B609">_xlfn.IFS(G609="Electronics","P001", G609="MRO","P002", G609="Office Supplies","P003", G609="Packaging","P004", G609="Raw Materials","P005")</f>
        <v>P002</v>
      </c>
      <c r="C609" s="11">
        <v>1711</v>
      </c>
      <c r="D609" s="11">
        <v>26.35</v>
      </c>
      <c r="E609" s="9">
        <v>0.95299999999999996</v>
      </c>
      <c r="F609" s="11" t="s">
        <v>5</v>
      </c>
      <c r="G609" s="16" t="s">
        <v>36</v>
      </c>
    </row>
    <row r="610" spans="1:7" x14ac:dyDescent="0.2">
      <c r="A610" s="7">
        <v>45266</v>
      </c>
      <c r="B610" s="14" t="str" cm="1">
        <f t="array" ref="B610">_xlfn.IFS(G610="Electronics","P001", G610="MRO","P002", G610="Office Supplies","P003", G610="Packaging","P004", G610="Raw Materials","P005")</f>
        <v>P004</v>
      </c>
      <c r="C610" s="8">
        <v>1191</v>
      </c>
      <c r="D610" s="8">
        <v>61.71</v>
      </c>
      <c r="E610" s="9">
        <v>1.032</v>
      </c>
      <c r="F610" s="8" t="s">
        <v>5</v>
      </c>
      <c r="G610" s="15" t="s">
        <v>37</v>
      </c>
    </row>
    <row r="611" spans="1:7" x14ac:dyDescent="0.2">
      <c r="A611" s="10">
        <v>44567</v>
      </c>
      <c r="B611" s="13" t="str" cm="1">
        <f t="array" ref="B611">_xlfn.IFS(G611="Electronics","P001", G611="MRO","P002", G611="Office Supplies","P003", G611="Packaging","P004", G611="Raw Materials","P005")</f>
        <v>P001</v>
      </c>
      <c r="C611" s="11">
        <v>609</v>
      </c>
      <c r="D611" s="11">
        <v>82.75</v>
      </c>
      <c r="E611" s="9">
        <v>0.999</v>
      </c>
      <c r="F611" s="11" t="s">
        <v>5</v>
      </c>
      <c r="G611" s="16" t="s">
        <v>39</v>
      </c>
    </row>
    <row r="612" spans="1:7" x14ac:dyDescent="0.2">
      <c r="A612" s="7">
        <v>44671</v>
      </c>
      <c r="B612" s="13" t="str" cm="1">
        <f t="array" ref="B612">_xlfn.IFS(G612="Electronics","P001", G612="MRO","P002", G612="Office Supplies","P003", G612="Packaging","P004", G612="Raw Materials","P005")</f>
        <v>P003</v>
      </c>
      <c r="C612" s="8">
        <v>1674</v>
      </c>
      <c r="D612" s="8">
        <v>11.77</v>
      </c>
      <c r="E612" s="9">
        <v>1.032</v>
      </c>
      <c r="F612" s="8" t="s">
        <v>5</v>
      </c>
      <c r="G612" s="15" t="s">
        <v>35</v>
      </c>
    </row>
    <row r="613" spans="1:7" x14ac:dyDescent="0.2">
      <c r="A613" s="10">
        <v>44997</v>
      </c>
      <c r="B613" s="14" t="str" cm="1">
        <f t="array" ref="B613">_xlfn.IFS(G613="Electronics","P001", G613="MRO","P002", G613="Office Supplies","P003", G613="Packaging","P004", G613="Raw Materials","P005")</f>
        <v>P002</v>
      </c>
      <c r="C613" s="11">
        <v>537</v>
      </c>
      <c r="D613" s="11">
        <v>71.180000000000007</v>
      </c>
      <c r="E613" s="9">
        <v>1.115</v>
      </c>
      <c r="F613" s="11" t="s">
        <v>5</v>
      </c>
      <c r="G613" s="16" t="s">
        <v>36</v>
      </c>
    </row>
    <row r="614" spans="1:7" x14ac:dyDescent="0.2">
      <c r="A614" s="7">
        <v>44786</v>
      </c>
      <c r="B614" s="13" t="str" cm="1">
        <f t="array" ref="B614">_xlfn.IFS(G614="Electronics","P001", G614="MRO","P002", G614="Office Supplies","P003", G614="Packaging","P004", G614="Raw Materials","P005")</f>
        <v>P001</v>
      </c>
      <c r="C614" s="8">
        <v>1310</v>
      </c>
      <c r="D614" s="8">
        <v>37</v>
      </c>
      <c r="E614" s="9">
        <v>0.96899999999999997</v>
      </c>
      <c r="F614" s="8" t="s">
        <v>5</v>
      </c>
      <c r="G614" s="15" t="s">
        <v>39</v>
      </c>
    </row>
    <row r="615" spans="1:7" x14ac:dyDescent="0.2">
      <c r="A615" s="10">
        <v>44742</v>
      </c>
      <c r="B615" s="14" t="str" cm="1">
        <f t="array" ref="B615">_xlfn.IFS(G615="Electronics","P001", G615="MRO","P002", G615="Office Supplies","P003", G615="Packaging","P004", G615="Raw Materials","P005")</f>
        <v>P005</v>
      </c>
      <c r="C615" s="11">
        <v>1958</v>
      </c>
      <c r="D615" s="11">
        <v>91.72</v>
      </c>
      <c r="E615" s="9">
        <v>0.89100000000000001</v>
      </c>
      <c r="F615" s="11" t="s">
        <v>5</v>
      </c>
      <c r="G615" s="16" t="s">
        <v>38</v>
      </c>
    </row>
    <row r="616" spans="1:7" x14ac:dyDescent="0.2">
      <c r="A616" s="7">
        <v>45274</v>
      </c>
      <c r="B616" s="13" t="str" cm="1">
        <f t="array" ref="B616">_xlfn.IFS(G616="Electronics","P001", G616="MRO","P002", G616="Office Supplies","P003", G616="Packaging","P004", G616="Raw Materials","P005")</f>
        <v>P003</v>
      </c>
      <c r="C616" s="8">
        <v>946</v>
      </c>
      <c r="D616" s="8">
        <v>101.78</v>
      </c>
      <c r="E616" s="9">
        <v>1.032</v>
      </c>
      <c r="F616" s="8" t="s">
        <v>5</v>
      </c>
      <c r="G616" s="15" t="s">
        <v>35</v>
      </c>
    </row>
    <row r="617" spans="1:7" x14ac:dyDescent="0.2">
      <c r="A617" s="10">
        <v>45092</v>
      </c>
      <c r="B617" s="13" t="str" cm="1">
        <f t="array" ref="B617">_xlfn.IFS(G617="Electronics","P001", G617="MRO","P002", G617="Office Supplies","P003", G617="Packaging","P004", G617="Raw Materials","P005")</f>
        <v>P004</v>
      </c>
      <c r="C617" s="11">
        <v>1345</v>
      </c>
      <c r="D617" s="11">
        <v>95.14</v>
      </c>
      <c r="E617" s="9">
        <v>0.89100000000000001</v>
      </c>
      <c r="F617" s="11" t="s">
        <v>5</v>
      </c>
      <c r="G617" s="16" t="s">
        <v>37</v>
      </c>
    </row>
    <row r="618" spans="1:7" x14ac:dyDescent="0.2">
      <c r="A618" s="7">
        <v>45037</v>
      </c>
      <c r="B618" s="14" t="str" cm="1">
        <f t="array" ref="B618">_xlfn.IFS(G618="Electronics","P001", G618="MRO","P002", G618="Office Supplies","P003", G618="Packaging","P004", G618="Raw Materials","P005")</f>
        <v>P002</v>
      </c>
      <c r="C618" s="8">
        <v>1262</v>
      </c>
      <c r="D618" s="8">
        <v>51.46</v>
      </c>
      <c r="E618" s="9">
        <v>1.032</v>
      </c>
      <c r="F618" s="8" t="s">
        <v>6</v>
      </c>
      <c r="G618" s="15" t="s">
        <v>36</v>
      </c>
    </row>
    <row r="619" spans="1:7" x14ac:dyDescent="0.2">
      <c r="A619" s="10">
        <v>44613</v>
      </c>
      <c r="B619" s="13" t="str" cm="1">
        <f t="array" ref="B619">_xlfn.IFS(G619="Electronics","P001", G619="MRO","P002", G619="Office Supplies","P003", G619="Packaging","P004", G619="Raw Materials","P005")</f>
        <v>P003</v>
      </c>
      <c r="C619" s="11">
        <v>753</v>
      </c>
      <c r="D619" s="11">
        <v>79.92</v>
      </c>
      <c r="E619" s="9">
        <v>1.0920000000000001</v>
      </c>
      <c r="F619" s="11" t="s">
        <v>5</v>
      </c>
      <c r="G619" s="16" t="s">
        <v>35</v>
      </c>
    </row>
    <row r="620" spans="1:7" x14ac:dyDescent="0.2">
      <c r="A620" s="7">
        <v>45132</v>
      </c>
      <c r="B620" s="14" t="str" cm="1">
        <f t="array" ref="B620">_xlfn.IFS(G620="Electronics","P001", G620="MRO","P002", G620="Office Supplies","P003", G620="Packaging","P004", G620="Raw Materials","P005")</f>
        <v>P001</v>
      </c>
      <c r="C620" s="8">
        <v>1520</v>
      </c>
      <c r="D620" s="8">
        <v>81.63</v>
      </c>
      <c r="E620" s="9">
        <v>0.99199999999999999</v>
      </c>
      <c r="F620" s="8" t="s">
        <v>5</v>
      </c>
      <c r="G620" s="15" t="s">
        <v>39</v>
      </c>
    </row>
    <row r="621" spans="1:7" x14ac:dyDescent="0.2">
      <c r="A621" s="10">
        <v>44817</v>
      </c>
      <c r="B621" s="13" t="str" cm="1">
        <f t="array" ref="B621">_xlfn.IFS(G621="Electronics","P001", G621="MRO","P002", G621="Office Supplies","P003", G621="Packaging","P004", G621="Raw Materials","P005")</f>
        <v>P003</v>
      </c>
      <c r="C621" s="11">
        <v>630</v>
      </c>
      <c r="D621" s="11">
        <v>37.54</v>
      </c>
      <c r="E621" s="9">
        <v>0.98099999999999998</v>
      </c>
      <c r="F621" s="11" t="s">
        <v>5</v>
      </c>
      <c r="G621" s="16" t="s">
        <v>35</v>
      </c>
    </row>
    <row r="622" spans="1:7" x14ac:dyDescent="0.2">
      <c r="A622" s="7">
        <v>44686</v>
      </c>
      <c r="B622" s="13" t="str" cm="1">
        <f t="array" ref="B622">_xlfn.IFS(G622="Electronics","P001", G622="MRO","P002", G622="Office Supplies","P003", G622="Packaging","P004", G622="Raw Materials","P005")</f>
        <v>P003</v>
      </c>
      <c r="C622" s="8">
        <v>839</v>
      </c>
      <c r="D622" s="8">
        <v>82.51</v>
      </c>
      <c r="E622" s="9">
        <v>0.98799999999999999</v>
      </c>
      <c r="F622" s="8" t="s">
        <v>5</v>
      </c>
      <c r="G622" s="15" t="s">
        <v>35</v>
      </c>
    </row>
    <row r="623" spans="1:7" x14ac:dyDescent="0.2">
      <c r="A623" s="10">
        <v>45029</v>
      </c>
      <c r="B623" s="14" t="str" cm="1">
        <f t="array" ref="B623">_xlfn.IFS(G623="Electronics","P001", G623="MRO","P002", G623="Office Supplies","P003", G623="Packaging","P004", G623="Raw Materials","P005")</f>
        <v>P001</v>
      </c>
      <c r="C623" s="11">
        <v>910</v>
      </c>
      <c r="D623" s="11">
        <v>14.07</v>
      </c>
      <c r="E623" s="9">
        <v>1.032</v>
      </c>
      <c r="F623" s="11" t="s">
        <v>5</v>
      </c>
      <c r="G623" s="16" t="s">
        <v>39</v>
      </c>
    </row>
    <row r="624" spans="1:7" x14ac:dyDescent="0.2">
      <c r="A624" s="7">
        <v>44698</v>
      </c>
      <c r="B624" s="13" t="str" cm="1">
        <f t="array" ref="B624">_xlfn.IFS(G624="Electronics","P001", G624="MRO","P002", G624="Office Supplies","P003", G624="Packaging","P004", G624="Raw Materials","P005")</f>
        <v>P005</v>
      </c>
      <c r="C624" s="8">
        <v>296</v>
      </c>
      <c r="D624" s="8">
        <v>63.61</v>
      </c>
      <c r="E624" s="9">
        <v>0.98799999999999999</v>
      </c>
      <c r="F624" s="8" t="s">
        <v>5</v>
      </c>
      <c r="G624" s="15" t="s">
        <v>38</v>
      </c>
    </row>
    <row r="625" spans="1:7" x14ac:dyDescent="0.2">
      <c r="A625" s="10">
        <v>45037</v>
      </c>
      <c r="B625" s="14" t="str" cm="1">
        <f t="array" ref="B625">_xlfn.IFS(G625="Electronics","P001", G625="MRO","P002", G625="Office Supplies","P003", G625="Packaging","P004", G625="Raw Materials","P005")</f>
        <v>P002</v>
      </c>
      <c r="C625" s="11">
        <v>1149</v>
      </c>
      <c r="D625" s="11">
        <v>30.65</v>
      </c>
      <c r="E625" s="9">
        <v>1.032</v>
      </c>
      <c r="F625" s="11" t="s">
        <v>5</v>
      </c>
      <c r="G625" s="16" t="s">
        <v>36</v>
      </c>
    </row>
    <row r="626" spans="1:7" x14ac:dyDescent="0.2">
      <c r="A626" s="7">
        <v>45245</v>
      </c>
      <c r="B626" s="13" t="str" cm="1">
        <f t="array" ref="B626">_xlfn.IFS(G626="Electronics","P001", G626="MRO","P002", G626="Office Supplies","P003", G626="Packaging","P004", G626="Raw Materials","P005")</f>
        <v>P001</v>
      </c>
      <c r="C626" s="8">
        <v>203</v>
      </c>
      <c r="D626" s="8">
        <v>20</v>
      </c>
      <c r="E626" s="9">
        <v>0.95299999999999996</v>
      </c>
      <c r="F626" s="8" t="s">
        <v>6</v>
      </c>
      <c r="G626" s="15" t="s">
        <v>39</v>
      </c>
    </row>
    <row r="627" spans="1:7" x14ac:dyDescent="0.2">
      <c r="A627" s="10">
        <v>45105</v>
      </c>
      <c r="B627" s="13" t="str" cm="1">
        <f t="array" ref="B627">_xlfn.IFS(G627="Electronics","P001", G627="MRO","P002", G627="Office Supplies","P003", G627="Packaging","P004", G627="Raw Materials","P005")</f>
        <v>P003</v>
      </c>
      <c r="C627" s="11">
        <v>1729</v>
      </c>
      <c r="D627" s="11">
        <v>16.34</v>
      </c>
      <c r="E627" s="9">
        <v>0.89100000000000001</v>
      </c>
      <c r="F627" s="11" t="s">
        <v>5</v>
      </c>
      <c r="G627" s="16" t="s">
        <v>35</v>
      </c>
    </row>
    <row r="628" spans="1:7" x14ac:dyDescent="0.2">
      <c r="A628" s="7">
        <v>45134</v>
      </c>
      <c r="B628" s="14" t="str" cm="1">
        <f t="array" ref="B628">_xlfn.IFS(G628="Electronics","P001", G628="MRO","P002", G628="Office Supplies","P003", G628="Packaging","P004", G628="Raw Materials","P005")</f>
        <v>P003</v>
      </c>
      <c r="C628" s="8">
        <v>1508</v>
      </c>
      <c r="D628" s="8">
        <v>73.27</v>
      </c>
      <c r="E628" s="9">
        <v>0.99199999999999999</v>
      </c>
      <c r="F628" s="8" t="s">
        <v>5</v>
      </c>
      <c r="G628" s="15" t="s">
        <v>35</v>
      </c>
    </row>
    <row r="629" spans="1:7" x14ac:dyDescent="0.2">
      <c r="A629" s="10">
        <v>45171</v>
      </c>
      <c r="B629" s="13" t="str" cm="1">
        <f t="array" ref="B629">_xlfn.IFS(G629="Electronics","P001", G629="MRO","P002", G629="Office Supplies","P003", G629="Packaging","P004", G629="Raw Materials","P005")</f>
        <v>P004</v>
      </c>
      <c r="C629" s="11">
        <v>1046</v>
      </c>
      <c r="D629" s="11">
        <v>40.1</v>
      </c>
      <c r="E629" s="9">
        <v>0.98099999999999998</v>
      </c>
      <c r="F629" s="11" t="s">
        <v>6</v>
      </c>
      <c r="G629" s="16" t="s">
        <v>37</v>
      </c>
    </row>
    <row r="630" spans="1:7" x14ac:dyDescent="0.2">
      <c r="A630" s="7">
        <v>44886</v>
      </c>
      <c r="B630" s="14" t="str" cm="1">
        <f t="array" ref="B630">_xlfn.IFS(G630="Electronics","P001", G630="MRO","P002", G630="Office Supplies","P003", G630="Packaging","P004", G630="Raw Materials","P005")</f>
        <v>P003</v>
      </c>
      <c r="C630" s="8">
        <v>1159</v>
      </c>
      <c r="D630" s="8">
        <v>71.69</v>
      </c>
      <c r="E630" s="9">
        <v>0.95299999999999996</v>
      </c>
      <c r="F630" s="8" t="s">
        <v>5</v>
      </c>
      <c r="G630" s="15" t="s">
        <v>35</v>
      </c>
    </row>
    <row r="631" spans="1:7" x14ac:dyDescent="0.2">
      <c r="A631" s="10">
        <v>45015</v>
      </c>
      <c r="B631" s="13" t="str" cm="1">
        <f t="array" ref="B631">_xlfn.IFS(G631="Electronics","P001", G631="MRO","P002", G631="Office Supplies","P003", G631="Packaging","P004", G631="Raw Materials","P005")</f>
        <v>P001</v>
      </c>
      <c r="C631" s="11">
        <v>746</v>
      </c>
      <c r="D631" s="11">
        <v>15.35</v>
      </c>
      <c r="E631" s="9">
        <v>1.115</v>
      </c>
      <c r="F631" s="11" t="s">
        <v>6</v>
      </c>
      <c r="G631" s="16" t="s">
        <v>39</v>
      </c>
    </row>
    <row r="632" spans="1:7" x14ac:dyDescent="0.2">
      <c r="A632" s="7">
        <v>45189</v>
      </c>
      <c r="B632" s="13" t="str" cm="1">
        <f t="array" ref="B632">_xlfn.IFS(G632="Electronics","P001", G632="MRO","P002", G632="Office Supplies","P003", G632="Packaging","P004", G632="Raw Materials","P005")</f>
        <v>P004</v>
      </c>
      <c r="C632" s="8">
        <v>1358</v>
      </c>
      <c r="D632" s="8">
        <v>38.75</v>
      </c>
      <c r="E632" s="9">
        <v>0.98099999999999998</v>
      </c>
      <c r="F632" s="8" t="s">
        <v>5</v>
      </c>
      <c r="G632" s="15" t="s">
        <v>37</v>
      </c>
    </row>
    <row r="633" spans="1:7" x14ac:dyDescent="0.2">
      <c r="A633" s="10">
        <v>45078</v>
      </c>
      <c r="B633" s="14" t="str" cm="1">
        <f t="array" ref="B633">_xlfn.IFS(G633="Electronics","P001", G633="MRO","P002", G633="Office Supplies","P003", G633="Packaging","P004", G633="Raw Materials","P005")</f>
        <v>P003</v>
      </c>
      <c r="C633" s="11">
        <v>1293</v>
      </c>
      <c r="D633" s="11">
        <v>59.42</v>
      </c>
      <c r="E633" s="9">
        <v>0.89100000000000001</v>
      </c>
      <c r="F633" s="11" t="s">
        <v>5</v>
      </c>
      <c r="G633" s="16" t="s">
        <v>35</v>
      </c>
    </row>
    <row r="634" spans="1:7" x14ac:dyDescent="0.2">
      <c r="A634" s="7">
        <v>44998</v>
      </c>
      <c r="B634" s="13" t="str" cm="1">
        <f t="array" ref="B634">_xlfn.IFS(G634="Electronics","P001", G634="MRO","P002", G634="Office Supplies","P003", G634="Packaging","P004", G634="Raw Materials","P005")</f>
        <v>P001</v>
      </c>
      <c r="C634" s="8">
        <v>1142</v>
      </c>
      <c r="D634" s="8">
        <v>74.28</v>
      </c>
      <c r="E634" s="9">
        <v>1.115</v>
      </c>
      <c r="F634" s="8" t="s">
        <v>5</v>
      </c>
      <c r="G634" s="15" t="s">
        <v>39</v>
      </c>
    </row>
    <row r="635" spans="1:7" x14ac:dyDescent="0.2">
      <c r="A635" s="10">
        <v>45123</v>
      </c>
      <c r="B635" s="14" t="str" cm="1">
        <f t="array" ref="B635">_xlfn.IFS(G635="Electronics","P001", G635="MRO","P002", G635="Office Supplies","P003", G635="Packaging","P004", G635="Raw Materials","P005")</f>
        <v>P002</v>
      </c>
      <c r="C635" s="11">
        <v>1120</v>
      </c>
      <c r="D635" s="11">
        <v>37.47</v>
      </c>
      <c r="E635" s="9">
        <v>0.99199999999999999</v>
      </c>
      <c r="F635" s="11" t="s">
        <v>5</v>
      </c>
      <c r="G635" s="16" t="s">
        <v>36</v>
      </c>
    </row>
    <row r="636" spans="1:7" x14ac:dyDescent="0.2">
      <c r="A636" s="7">
        <v>45018</v>
      </c>
      <c r="B636" s="13" t="str" cm="1">
        <f t="array" ref="B636">_xlfn.IFS(G636="Electronics","P001", G636="MRO","P002", G636="Office Supplies","P003", G636="Packaging","P004", G636="Raw Materials","P005")</f>
        <v>P002</v>
      </c>
      <c r="C636" s="8">
        <v>1058</v>
      </c>
      <c r="D636" s="8">
        <v>62.04</v>
      </c>
      <c r="E636" s="9">
        <v>1.032</v>
      </c>
      <c r="F636" s="8" t="s">
        <v>5</v>
      </c>
      <c r="G636" s="15" t="s">
        <v>36</v>
      </c>
    </row>
    <row r="637" spans="1:7" x14ac:dyDescent="0.2">
      <c r="A637" s="10">
        <v>44724</v>
      </c>
      <c r="B637" s="13" t="str" cm="1">
        <f t="array" ref="B637">_xlfn.IFS(G637="Electronics","P001", G637="MRO","P002", G637="Office Supplies","P003", G637="Packaging","P004", G637="Raw Materials","P005")</f>
        <v>P003</v>
      </c>
      <c r="C637" s="11">
        <v>143</v>
      </c>
      <c r="D637" s="11">
        <v>86.02</v>
      </c>
      <c r="E637" s="9">
        <v>0.89100000000000001</v>
      </c>
      <c r="F637" s="11" t="s">
        <v>5</v>
      </c>
      <c r="G637" s="16" t="s">
        <v>35</v>
      </c>
    </row>
    <row r="638" spans="1:7" x14ac:dyDescent="0.2">
      <c r="A638" s="7">
        <v>45048</v>
      </c>
      <c r="B638" s="14" t="str" cm="1">
        <f t="array" ref="B638">_xlfn.IFS(G638="Electronics","P001", G638="MRO","P002", G638="Office Supplies","P003", G638="Packaging","P004", G638="Raw Materials","P005")</f>
        <v>P002</v>
      </c>
      <c r="C638" s="8">
        <v>1823</v>
      </c>
      <c r="D638" s="8">
        <v>66.92</v>
      </c>
      <c r="E638" s="9">
        <v>0.98799999999999999</v>
      </c>
      <c r="F638" s="8" t="s">
        <v>5</v>
      </c>
      <c r="G638" s="15" t="s">
        <v>36</v>
      </c>
    </row>
    <row r="639" spans="1:7" x14ac:dyDescent="0.2">
      <c r="A639" s="10">
        <v>45022</v>
      </c>
      <c r="B639" s="13" t="str" cm="1">
        <f t="array" ref="B639">_xlfn.IFS(G639="Electronics","P001", G639="MRO","P002", G639="Office Supplies","P003", G639="Packaging","P004", G639="Raw Materials","P005")</f>
        <v>P003</v>
      </c>
      <c r="C639" s="11">
        <v>1007</v>
      </c>
      <c r="D639" s="11">
        <v>28.48</v>
      </c>
      <c r="E639" s="9">
        <v>1.032</v>
      </c>
      <c r="F639" s="11" t="s">
        <v>5</v>
      </c>
      <c r="G639" s="16" t="s">
        <v>35</v>
      </c>
    </row>
    <row r="640" spans="1:7" x14ac:dyDescent="0.2">
      <c r="A640" s="7">
        <v>44827</v>
      </c>
      <c r="B640" s="14" t="str" cm="1">
        <f t="array" ref="B640">_xlfn.IFS(G640="Electronics","P001", G640="MRO","P002", G640="Office Supplies","P003", G640="Packaging","P004", G640="Raw Materials","P005")</f>
        <v>P004</v>
      </c>
      <c r="C640" s="8">
        <v>1061</v>
      </c>
      <c r="D640" s="8">
        <v>12.36</v>
      </c>
      <c r="E640" s="9">
        <v>0.98099999999999998</v>
      </c>
      <c r="F640" s="8" t="s">
        <v>6</v>
      </c>
      <c r="G640" s="15" t="s">
        <v>37</v>
      </c>
    </row>
    <row r="641" spans="1:7" x14ac:dyDescent="0.2">
      <c r="A641" s="10">
        <v>44815</v>
      </c>
      <c r="B641" s="13" t="str" cm="1">
        <f t="array" ref="B641">_xlfn.IFS(G641="Electronics","P001", G641="MRO","P002", G641="Office Supplies","P003", G641="Packaging","P004", G641="Raw Materials","P005")</f>
        <v>P002</v>
      </c>
      <c r="C641" s="11">
        <v>502</v>
      </c>
      <c r="D641" s="11">
        <v>82.33</v>
      </c>
      <c r="E641" s="9">
        <v>0.98099999999999998</v>
      </c>
      <c r="F641" s="11" t="s">
        <v>5</v>
      </c>
      <c r="G641" s="16" t="s">
        <v>36</v>
      </c>
    </row>
    <row r="642" spans="1:7" x14ac:dyDescent="0.2">
      <c r="A642" s="7">
        <v>45214</v>
      </c>
      <c r="B642" s="13" t="str" cm="1">
        <f t="array" ref="B642">_xlfn.IFS(G642="Electronics","P001", G642="MRO","P002", G642="Office Supplies","P003", G642="Packaging","P004", G642="Raw Materials","P005")</f>
        <v>P004</v>
      </c>
      <c r="C642" s="8">
        <v>1277</v>
      </c>
      <c r="D642" s="8">
        <v>11.63</v>
      </c>
      <c r="E642" s="9">
        <v>0.94299999999999995</v>
      </c>
      <c r="F642" s="8" t="s">
        <v>6</v>
      </c>
      <c r="G642" s="15" t="s">
        <v>37</v>
      </c>
    </row>
    <row r="643" spans="1:7" x14ac:dyDescent="0.2">
      <c r="A643" s="10">
        <v>44845</v>
      </c>
      <c r="B643" s="14" t="str" cm="1">
        <f t="array" ref="B643">_xlfn.IFS(G643="Electronics","P001", G643="MRO","P002", G643="Office Supplies","P003", G643="Packaging","P004", G643="Raw Materials","P005")</f>
        <v>P004</v>
      </c>
      <c r="C643" s="11">
        <v>961</v>
      </c>
      <c r="D643" s="11">
        <v>88.49</v>
      </c>
      <c r="E643" s="9">
        <v>0.94299999999999995</v>
      </c>
      <c r="F643" s="11" t="s">
        <v>5</v>
      </c>
      <c r="G643" s="16" t="s">
        <v>37</v>
      </c>
    </row>
    <row r="644" spans="1:7" x14ac:dyDescent="0.2">
      <c r="A644" s="7">
        <v>45095</v>
      </c>
      <c r="B644" s="13" t="str" cm="1">
        <f t="array" ref="B644">_xlfn.IFS(G644="Electronics","P001", G644="MRO","P002", G644="Office Supplies","P003", G644="Packaging","P004", G644="Raw Materials","P005")</f>
        <v>P004</v>
      </c>
      <c r="C644" s="8">
        <v>267</v>
      </c>
      <c r="D644" s="8">
        <v>61.18</v>
      </c>
      <c r="E644" s="9">
        <v>0.89100000000000001</v>
      </c>
      <c r="F644" s="8" t="s">
        <v>5</v>
      </c>
      <c r="G644" s="15" t="s">
        <v>37</v>
      </c>
    </row>
    <row r="645" spans="1:7" x14ac:dyDescent="0.2">
      <c r="A645" s="10">
        <v>45058</v>
      </c>
      <c r="B645" s="14" t="str" cm="1">
        <f t="array" ref="B645">_xlfn.IFS(G645="Electronics","P001", G645="MRO","P002", G645="Office Supplies","P003", G645="Packaging","P004", G645="Raw Materials","P005")</f>
        <v>P005</v>
      </c>
      <c r="C645" s="11">
        <v>523</v>
      </c>
      <c r="D645" s="11">
        <v>99.59</v>
      </c>
      <c r="E645" s="9">
        <v>0.98799999999999999</v>
      </c>
      <c r="F645" s="11" t="s">
        <v>5</v>
      </c>
      <c r="G645" s="16" t="s">
        <v>38</v>
      </c>
    </row>
    <row r="646" spans="1:7" x14ac:dyDescent="0.2">
      <c r="A646" s="7">
        <v>45203</v>
      </c>
      <c r="B646" s="13" t="str" cm="1">
        <f t="array" ref="B646">_xlfn.IFS(G646="Electronics","P001", G646="MRO","P002", G646="Office Supplies","P003", G646="Packaging","P004", G646="Raw Materials","P005")</f>
        <v>P001</v>
      </c>
      <c r="C646" s="8">
        <v>481</v>
      </c>
      <c r="D646" s="8">
        <v>77.17</v>
      </c>
      <c r="E646" s="9">
        <v>0.94299999999999995</v>
      </c>
      <c r="F646" s="8" t="s">
        <v>5</v>
      </c>
      <c r="G646" s="15" t="s">
        <v>39</v>
      </c>
    </row>
    <row r="647" spans="1:7" x14ac:dyDescent="0.2">
      <c r="A647" s="10">
        <v>44806</v>
      </c>
      <c r="B647" s="13" t="str" cm="1">
        <f t="array" ref="B647">_xlfn.IFS(G647="Electronics","P001", G647="MRO","P002", G647="Office Supplies","P003", G647="Packaging","P004", G647="Raw Materials","P005")</f>
        <v>P003</v>
      </c>
      <c r="C647" s="11">
        <v>390</v>
      </c>
      <c r="D647" s="11">
        <v>100.12</v>
      </c>
      <c r="E647" s="9">
        <v>0.98099999999999998</v>
      </c>
      <c r="F647" s="11" t="s">
        <v>5</v>
      </c>
      <c r="G647" s="16" t="s">
        <v>35</v>
      </c>
    </row>
    <row r="648" spans="1:7" x14ac:dyDescent="0.2">
      <c r="A648" s="7">
        <v>44843</v>
      </c>
      <c r="B648" s="14" t="str" cm="1">
        <f t="array" ref="B648">_xlfn.IFS(G648="Electronics","P001", G648="MRO","P002", G648="Office Supplies","P003", G648="Packaging","P004", G648="Raw Materials","P005")</f>
        <v>P004</v>
      </c>
      <c r="C648" s="8">
        <v>600</v>
      </c>
      <c r="D648" s="8">
        <v>38.76</v>
      </c>
      <c r="E648" s="9">
        <v>0.94299999999999995</v>
      </c>
      <c r="F648" s="8" t="s">
        <v>5</v>
      </c>
      <c r="G648" s="15" t="s">
        <v>37</v>
      </c>
    </row>
    <row r="649" spans="1:7" x14ac:dyDescent="0.2">
      <c r="A649" s="10">
        <v>45012</v>
      </c>
      <c r="B649" s="13" t="str" cm="1">
        <f t="array" ref="B649">_xlfn.IFS(G649="Electronics","P001", G649="MRO","P002", G649="Office Supplies","P003", G649="Packaging","P004", G649="Raw Materials","P005")</f>
        <v>P003</v>
      </c>
      <c r="C649" s="11">
        <v>1685</v>
      </c>
      <c r="D649" s="11">
        <v>75.209999999999994</v>
      </c>
      <c r="E649" s="9">
        <v>1.115</v>
      </c>
      <c r="F649" s="11" t="s">
        <v>6</v>
      </c>
      <c r="G649" s="16" t="s">
        <v>35</v>
      </c>
    </row>
    <row r="650" spans="1:7" x14ac:dyDescent="0.2">
      <c r="A650" s="7">
        <v>44641</v>
      </c>
      <c r="B650" s="14" t="str" cm="1">
        <f t="array" ref="B650">_xlfn.IFS(G650="Electronics","P001", G650="MRO","P002", G650="Office Supplies","P003", G650="Packaging","P004", G650="Raw Materials","P005")</f>
        <v>P004</v>
      </c>
      <c r="C650" s="8">
        <v>1362</v>
      </c>
      <c r="D650" s="8">
        <v>42.85</v>
      </c>
      <c r="E650" s="9">
        <v>1.115</v>
      </c>
      <c r="F650" s="8" t="s">
        <v>5</v>
      </c>
      <c r="G650" s="15" t="s">
        <v>37</v>
      </c>
    </row>
    <row r="651" spans="1:7" x14ac:dyDescent="0.2">
      <c r="A651" s="10">
        <v>45292</v>
      </c>
      <c r="B651" s="13" t="str" cm="1">
        <f t="array" ref="B651">_xlfn.IFS(G651="Electronics","P001", G651="MRO","P002", G651="Office Supplies","P003", G651="Packaging","P004", G651="Raw Materials","P005")</f>
        <v>P001</v>
      </c>
      <c r="C651" s="11">
        <v>1327</v>
      </c>
      <c r="D651" s="11">
        <v>56.44</v>
      </c>
      <c r="E651" s="9">
        <v>0.999</v>
      </c>
      <c r="F651" s="11" t="s">
        <v>5</v>
      </c>
      <c r="G651" s="16" t="s">
        <v>39</v>
      </c>
    </row>
    <row r="652" spans="1:7" x14ac:dyDescent="0.2">
      <c r="A652" s="7">
        <v>44854</v>
      </c>
      <c r="B652" s="13" t="str" cm="1">
        <f t="array" ref="B652">_xlfn.IFS(G652="Electronics","P001", G652="MRO","P002", G652="Office Supplies","P003", G652="Packaging","P004", G652="Raw Materials","P005")</f>
        <v>P002</v>
      </c>
      <c r="C652" s="8">
        <v>1807</v>
      </c>
      <c r="D652" s="8">
        <v>60</v>
      </c>
      <c r="E652" s="9">
        <v>0.94299999999999995</v>
      </c>
      <c r="F652" s="8" t="s">
        <v>5</v>
      </c>
      <c r="G652" s="15" t="s">
        <v>36</v>
      </c>
    </row>
    <row r="653" spans="1:7" x14ac:dyDescent="0.2">
      <c r="A653" s="10">
        <v>44802</v>
      </c>
      <c r="B653" s="14" t="str" cm="1">
        <f t="array" ref="B653">_xlfn.IFS(G653="Electronics","P001", G653="MRO","P002", G653="Office Supplies","P003", G653="Packaging","P004", G653="Raw Materials","P005")</f>
        <v>P003</v>
      </c>
      <c r="C653" s="11">
        <v>406</v>
      </c>
      <c r="D653" s="11">
        <v>89.13</v>
      </c>
      <c r="E653" s="9">
        <v>0.96899999999999997</v>
      </c>
      <c r="F653" s="11" t="s">
        <v>5</v>
      </c>
      <c r="G653" s="16" t="s">
        <v>35</v>
      </c>
    </row>
    <row r="654" spans="1:7" x14ac:dyDescent="0.2">
      <c r="A654" s="7">
        <v>44840</v>
      </c>
      <c r="B654" s="13" t="str" cm="1">
        <f t="array" ref="B654">_xlfn.IFS(G654="Electronics","P001", G654="MRO","P002", G654="Office Supplies","P003", G654="Packaging","P004", G654="Raw Materials","P005")</f>
        <v>P005</v>
      </c>
      <c r="C654" s="8">
        <v>72</v>
      </c>
      <c r="D654" s="8">
        <v>89.49</v>
      </c>
      <c r="E654" s="9">
        <v>0.94299999999999995</v>
      </c>
      <c r="F654" s="8" t="s">
        <v>6</v>
      </c>
      <c r="G654" s="15" t="s">
        <v>38</v>
      </c>
    </row>
    <row r="655" spans="1:7" x14ac:dyDescent="0.2">
      <c r="A655" s="10">
        <v>44905</v>
      </c>
      <c r="B655" s="14" t="str" cm="1">
        <f t="array" ref="B655">_xlfn.IFS(G655="Electronics","P001", G655="MRO","P002", G655="Office Supplies","P003", G655="Packaging","P004", G655="Raw Materials","P005")</f>
        <v>P003</v>
      </c>
      <c r="C655" s="11">
        <v>1835</v>
      </c>
      <c r="D655" s="11">
        <v>82.36</v>
      </c>
      <c r="E655" s="9">
        <v>1.032</v>
      </c>
      <c r="F655" s="11" t="s">
        <v>6</v>
      </c>
      <c r="G655" s="16" t="s">
        <v>35</v>
      </c>
    </row>
    <row r="656" spans="1:7" x14ac:dyDescent="0.2">
      <c r="A656" s="7">
        <v>44889</v>
      </c>
      <c r="B656" s="13" t="str" cm="1">
        <f t="array" ref="B656">_xlfn.IFS(G656="Electronics","P001", G656="MRO","P002", G656="Office Supplies","P003", G656="Packaging","P004", G656="Raw Materials","P005")</f>
        <v>P001</v>
      </c>
      <c r="C656" s="8">
        <v>571</v>
      </c>
      <c r="D656" s="8">
        <v>45.58</v>
      </c>
      <c r="E656" s="9">
        <v>0.95299999999999996</v>
      </c>
      <c r="F656" s="8" t="s">
        <v>6</v>
      </c>
      <c r="G656" s="15" t="s">
        <v>39</v>
      </c>
    </row>
    <row r="657" spans="1:7" x14ac:dyDescent="0.2">
      <c r="A657" s="10">
        <v>45115</v>
      </c>
      <c r="B657" s="13" t="str" cm="1">
        <f t="array" ref="B657">_xlfn.IFS(G657="Electronics","P001", G657="MRO","P002", G657="Office Supplies","P003", G657="Packaging","P004", G657="Raw Materials","P005")</f>
        <v>P004</v>
      </c>
      <c r="C657" s="11">
        <v>1831</v>
      </c>
      <c r="D657" s="11">
        <v>50.44</v>
      </c>
      <c r="E657" s="9">
        <v>0.99199999999999999</v>
      </c>
      <c r="F657" s="11" t="s">
        <v>5</v>
      </c>
      <c r="G657" s="16" t="s">
        <v>37</v>
      </c>
    </row>
    <row r="658" spans="1:7" x14ac:dyDescent="0.2">
      <c r="A658" s="7">
        <v>44644</v>
      </c>
      <c r="B658" s="14" t="str" cm="1">
        <f t="array" ref="B658">_xlfn.IFS(G658="Electronics","P001", G658="MRO","P002", G658="Office Supplies","P003", G658="Packaging","P004", G658="Raw Materials","P005")</f>
        <v>P003</v>
      </c>
      <c r="C658" s="8">
        <v>1910</v>
      </c>
      <c r="D658" s="8">
        <v>68.489999999999995</v>
      </c>
      <c r="E658" s="9">
        <v>1.115</v>
      </c>
      <c r="F658" s="8" t="s">
        <v>5</v>
      </c>
      <c r="G658" s="15" t="s">
        <v>35</v>
      </c>
    </row>
    <row r="659" spans="1:7" x14ac:dyDescent="0.2">
      <c r="A659" s="10">
        <v>44703</v>
      </c>
      <c r="B659" s="13" t="str" cm="1">
        <f t="array" ref="B659">_xlfn.IFS(G659="Electronics","P001", G659="MRO","P002", G659="Office Supplies","P003", G659="Packaging","P004", G659="Raw Materials","P005")</f>
        <v>P001</v>
      </c>
      <c r="C659" s="11">
        <v>1173</v>
      </c>
      <c r="D659" s="11">
        <v>29.18</v>
      </c>
      <c r="E659" s="9">
        <v>0.98799999999999999</v>
      </c>
      <c r="F659" s="11" t="s">
        <v>5</v>
      </c>
      <c r="G659" s="16" t="s">
        <v>39</v>
      </c>
    </row>
    <row r="660" spans="1:7" x14ac:dyDescent="0.2">
      <c r="A660" s="7">
        <v>44716</v>
      </c>
      <c r="B660" s="14" t="str" cm="1">
        <f t="array" ref="B660">_xlfn.IFS(G660="Electronics","P001", G660="MRO","P002", G660="Office Supplies","P003", G660="Packaging","P004", G660="Raw Materials","P005")</f>
        <v>P004</v>
      </c>
      <c r="C660" s="8">
        <v>851</v>
      </c>
      <c r="D660" s="8">
        <v>19.22</v>
      </c>
      <c r="E660" s="9">
        <v>0.89100000000000001</v>
      </c>
      <c r="F660" s="8" t="s">
        <v>5</v>
      </c>
      <c r="G660" s="15" t="s">
        <v>37</v>
      </c>
    </row>
    <row r="661" spans="1:7" x14ac:dyDescent="0.2">
      <c r="A661" s="10">
        <v>44798</v>
      </c>
      <c r="B661" s="13" t="str" cm="1">
        <f t="array" ref="B661">_xlfn.IFS(G661="Electronics","P001", G661="MRO","P002", G661="Office Supplies","P003", G661="Packaging","P004", G661="Raw Materials","P005")</f>
        <v>P002</v>
      </c>
      <c r="C661" s="11">
        <v>1253</v>
      </c>
      <c r="D661" s="11">
        <v>38.01</v>
      </c>
      <c r="E661" s="9">
        <v>0.96899999999999997</v>
      </c>
      <c r="F661" s="11" t="s">
        <v>5</v>
      </c>
      <c r="G661" s="16" t="s">
        <v>36</v>
      </c>
    </row>
    <row r="662" spans="1:7" x14ac:dyDescent="0.2">
      <c r="A662" s="7">
        <v>44954</v>
      </c>
      <c r="B662" s="13" t="str" cm="1">
        <f t="array" ref="B662">_xlfn.IFS(G662="Electronics","P001", G662="MRO","P002", G662="Office Supplies","P003", G662="Packaging","P004", G662="Raw Materials","P005")</f>
        <v>P001</v>
      </c>
      <c r="C662" s="8">
        <v>1296</v>
      </c>
      <c r="D662" s="8">
        <v>33.42</v>
      </c>
      <c r="E662" s="9">
        <v>0.999</v>
      </c>
      <c r="F662" s="8" t="s">
        <v>5</v>
      </c>
      <c r="G662" s="15" t="s">
        <v>39</v>
      </c>
    </row>
    <row r="663" spans="1:7" x14ac:dyDescent="0.2">
      <c r="A663" s="10">
        <v>45272</v>
      </c>
      <c r="B663" s="14" t="str" cm="1">
        <f t="array" ref="B663">_xlfn.IFS(G663="Electronics","P001", G663="MRO","P002", G663="Office Supplies","P003", G663="Packaging","P004", G663="Raw Materials","P005")</f>
        <v>P005</v>
      </c>
      <c r="C663" s="11">
        <v>1979</v>
      </c>
      <c r="D663" s="11">
        <v>39.46</v>
      </c>
      <c r="E663" s="9">
        <v>1.032</v>
      </c>
      <c r="F663" s="11" t="s">
        <v>5</v>
      </c>
      <c r="G663" s="16" t="s">
        <v>38</v>
      </c>
    </row>
    <row r="664" spans="1:7" x14ac:dyDescent="0.2">
      <c r="A664" s="7">
        <v>44718</v>
      </c>
      <c r="B664" s="13" t="str" cm="1">
        <f t="array" ref="B664">_xlfn.IFS(G664="Electronics","P001", G664="MRO","P002", G664="Office Supplies","P003", G664="Packaging","P004", G664="Raw Materials","P005")</f>
        <v>P003</v>
      </c>
      <c r="C664" s="8">
        <v>811</v>
      </c>
      <c r="D664" s="8">
        <v>30.33</v>
      </c>
      <c r="E664" s="9">
        <v>0.89100000000000001</v>
      </c>
      <c r="F664" s="8" t="s">
        <v>5</v>
      </c>
      <c r="G664" s="15" t="s">
        <v>35</v>
      </c>
    </row>
    <row r="665" spans="1:7" x14ac:dyDescent="0.2">
      <c r="A665" s="10">
        <v>45285</v>
      </c>
      <c r="B665" s="14" t="str" cm="1">
        <f t="array" ref="B665">_xlfn.IFS(G665="Electronics","P001", G665="MRO","P002", G665="Office Supplies","P003", G665="Packaging","P004", G665="Raw Materials","P005")</f>
        <v>P001</v>
      </c>
      <c r="C665" s="11">
        <v>1732</v>
      </c>
      <c r="D665" s="11">
        <v>14.7</v>
      </c>
      <c r="E665" s="9">
        <v>1.032</v>
      </c>
      <c r="F665" s="11" t="s">
        <v>5</v>
      </c>
      <c r="G665" s="16" t="s">
        <v>39</v>
      </c>
    </row>
    <row r="666" spans="1:7" x14ac:dyDescent="0.2">
      <c r="A666" s="7">
        <v>44781</v>
      </c>
      <c r="B666" s="13" t="str" cm="1">
        <f t="array" ref="B666">_xlfn.IFS(G666="Electronics","P001", G666="MRO","P002", G666="Office Supplies","P003", G666="Packaging","P004", G666="Raw Materials","P005")</f>
        <v>P004</v>
      </c>
      <c r="C666" s="8">
        <v>491</v>
      </c>
      <c r="D666" s="8">
        <v>11.67</v>
      </c>
      <c r="E666" s="9">
        <v>0.96899999999999997</v>
      </c>
      <c r="F666" s="8" t="s">
        <v>5</v>
      </c>
      <c r="G666" s="15" t="s">
        <v>37</v>
      </c>
    </row>
    <row r="667" spans="1:7" x14ac:dyDescent="0.2">
      <c r="A667" s="10">
        <v>44627</v>
      </c>
      <c r="B667" s="13" t="str" cm="1">
        <f t="array" ref="B667">_xlfn.IFS(G667="Electronics","P001", G667="MRO","P002", G667="Office Supplies","P003", G667="Packaging","P004", G667="Raw Materials","P005")</f>
        <v>P004</v>
      </c>
      <c r="C667" s="11">
        <v>1681</v>
      </c>
      <c r="D667" s="11">
        <v>96.38</v>
      </c>
      <c r="E667" s="9">
        <v>1.115</v>
      </c>
      <c r="F667" s="11" t="s">
        <v>5</v>
      </c>
      <c r="G667" s="16" t="s">
        <v>37</v>
      </c>
    </row>
    <row r="668" spans="1:7" x14ac:dyDescent="0.2">
      <c r="A668" s="7">
        <v>44986</v>
      </c>
      <c r="B668" s="14" t="str" cm="1">
        <f t="array" ref="B668">_xlfn.IFS(G668="Electronics","P001", G668="MRO","P002", G668="Office Supplies","P003", G668="Packaging","P004", G668="Raw Materials","P005")</f>
        <v>P005</v>
      </c>
      <c r="C668" s="8">
        <v>818</v>
      </c>
      <c r="D668" s="8">
        <v>47.85</v>
      </c>
      <c r="E668" s="9">
        <v>1.115</v>
      </c>
      <c r="F668" s="8" t="s">
        <v>5</v>
      </c>
      <c r="G668" s="15" t="s">
        <v>38</v>
      </c>
    </row>
    <row r="669" spans="1:7" x14ac:dyDescent="0.2">
      <c r="A669" s="10">
        <v>44979</v>
      </c>
      <c r="B669" s="13" t="str" cm="1">
        <f t="array" ref="B669">_xlfn.IFS(G669="Electronics","P001", G669="MRO","P002", G669="Office Supplies","P003", G669="Packaging","P004", G669="Raw Materials","P005")</f>
        <v>P003</v>
      </c>
      <c r="C669" s="11">
        <v>1065</v>
      </c>
      <c r="D669" s="11">
        <v>41.42</v>
      </c>
      <c r="E669" s="9">
        <v>1.0920000000000001</v>
      </c>
      <c r="F669" s="11" t="s">
        <v>5</v>
      </c>
      <c r="G669" s="16" t="s">
        <v>35</v>
      </c>
    </row>
    <row r="670" spans="1:7" x14ac:dyDescent="0.2">
      <c r="A670" s="7">
        <v>44900</v>
      </c>
      <c r="B670" s="14" t="str" cm="1">
        <f t="array" ref="B670">_xlfn.IFS(G670="Electronics","P001", G670="MRO","P002", G670="Office Supplies","P003", G670="Packaging","P004", G670="Raw Materials","P005")</f>
        <v>P004</v>
      </c>
      <c r="C670" s="8">
        <v>1398</v>
      </c>
      <c r="D670" s="8">
        <v>67.09</v>
      </c>
      <c r="E670" s="9">
        <v>1.032</v>
      </c>
      <c r="F670" s="8" t="s">
        <v>5</v>
      </c>
      <c r="G670" s="15" t="s">
        <v>37</v>
      </c>
    </row>
    <row r="671" spans="1:7" x14ac:dyDescent="0.2">
      <c r="A671" s="10">
        <v>45117</v>
      </c>
      <c r="B671" s="13" t="str" cm="1">
        <f t="array" ref="B671">_xlfn.IFS(G671="Electronics","P001", G671="MRO","P002", G671="Office Supplies","P003", G671="Packaging","P004", G671="Raw Materials","P005")</f>
        <v>P004</v>
      </c>
      <c r="C671" s="11">
        <v>565</v>
      </c>
      <c r="D671" s="11">
        <v>29.76</v>
      </c>
      <c r="E671" s="9">
        <v>0.99199999999999999</v>
      </c>
      <c r="F671" s="11" t="s">
        <v>5</v>
      </c>
      <c r="G671" s="16" t="s">
        <v>37</v>
      </c>
    </row>
    <row r="672" spans="1:7" x14ac:dyDescent="0.2">
      <c r="A672" s="7">
        <v>45039</v>
      </c>
      <c r="B672" s="13" t="str" cm="1">
        <f t="array" ref="B672">_xlfn.IFS(G672="Electronics","P001", G672="MRO","P002", G672="Office Supplies","P003", G672="Packaging","P004", G672="Raw Materials","P005")</f>
        <v>P004</v>
      </c>
      <c r="C672" s="8">
        <v>1089</v>
      </c>
      <c r="D672" s="8">
        <v>89.21</v>
      </c>
      <c r="E672" s="9">
        <v>1.032</v>
      </c>
      <c r="F672" s="8" t="s">
        <v>5</v>
      </c>
      <c r="G672" s="15" t="s">
        <v>37</v>
      </c>
    </row>
    <row r="673" spans="1:7" x14ac:dyDescent="0.2">
      <c r="A673" s="10">
        <v>44987</v>
      </c>
      <c r="B673" s="14" t="str" cm="1">
        <f t="array" ref="B673">_xlfn.IFS(G673="Electronics","P001", G673="MRO","P002", G673="Office Supplies","P003", G673="Packaging","P004", G673="Raw Materials","P005")</f>
        <v>P001</v>
      </c>
      <c r="C673" s="11">
        <v>841</v>
      </c>
      <c r="D673" s="11">
        <v>83.77</v>
      </c>
      <c r="E673" s="9">
        <v>1.115</v>
      </c>
      <c r="F673" s="11" t="s">
        <v>6</v>
      </c>
      <c r="G673" s="16" t="s">
        <v>39</v>
      </c>
    </row>
    <row r="674" spans="1:7" x14ac:dyDescent="0.2">
      <c r="A674" s="7">
        <v>44625</v>
      </c>
      <c r="B674" s="13" t="str" cm="1">
        <f t="array" ref="B674">_xlfn.IFS(G674="Electronics","P001", G674="MRO","P002", G674="Office Supplies","P003", G674="Packaging","P004", G674="Raw Materials","P005")</f>
        <v>P001</v>
      </c>
      <c r="C674" s="8">
        <v>385</v>
      </c>
      <c r="D674" s="8">
        <v>17.739999999999998</v>
      </c>
      <c r="E674" s="9">
        <v>1.115</v>
      </c>
      <c r="F674" s="8" t="s">
        <v>5</v>
      </c>
      <c r="G674" s="15" t="s">
        <v>39</v>
      </c>
    </row>
    <row r="675" spans="1:7" x14ac:dyDescent="0.2">
      <c r="A675" s="10">
        <v>44773</v>
      </c>
      <c r="B675" s="14" t="str" cm="1">
        <f t="array" ref="B675">_xlfn.IFS(G675="Electronics","P001", G675="MRO","P002", G675="Office Supplies","P003", G675="Packaging","P004", G675="Raw Materials","P005")</f>
        <v>P003</v>
      </c>
      <c r="C675" s="11">
        <v>1832</v>
      </c>
      <c r="D675" s="11">
        <v>41.86</v>
      </c>
      <c r="E675" s="9">
        <v>0.99199999999999999</v>
      </c>
      <c r="F675" s="11" t="s">
        <v>5</v>
      </c>
      <c r="G675" s="16" t="s">
        <v>35</v>
      </c>
    </row>
    <row r="676" spans="1:7" x14ac:dyDescent="0.2">
      <c r="A676" s="7">
        <v>44992</v>
      </c>
      <c r="B676" s="13" t="str" cm="1">
        <f t="array" ref="B676">_xlfn.IFS(G676="Electronics","P001", G676="MRO","P002", G676="Office Supplies","P003", G676="Packaging","P004", G676="Raw Materials","P005")</f>
        <v>P005</v>
      </c>
      <c r="C676" s="8">
        <v>307</v>
      </c>
      <c r="D676" s="8">
        <v>83.63</v>
      </c>
      <c r="E676" s="9">
        <v>1.115</v>
      </c>
      <c r="F676" s="8" t="s">
        <v>5</v>
      </c>
      <c r="G676" s="15" t="s">
        <v>38</v>
      </c>
    </row>
    <row r="677" spans="1:7" x14ac:dyDescent="0.2">
      <c r="A677" s="10">
        <v>44960</v>
      </c>
      <c r="B677" s="13" t="str" cm="1">
        <f t="array" ref="B677">_xlfn.IFS(G677="Electronics","P001", G677="MRO","P002", G677="Office Supplies","P003", G677="Packaging","P004", G677="Raw Materials","P005")</f>
        <v>P003</v>
      </c>
      <c r="C677" s="11">
        <v>546</v>
      </c>
      <c r="D677" s="11">
        <v>97.82</v>
      </c>
      <c r="E677" s="9">
        <v>1.0920000000000001</v>
      </c>
      <c r="F677" s="11" t="s">
        <v>5</v>
      </c>
      <c r="G677" s="16" t="s">
        <v>35</v>
      </c>
    </row>
    <row r="678" spans="1:7" x14ac:dyDescent="0.2">
      <c r="A678" s="7">
        <v>45160</v>
      </c>
      <c r="B678" s="14" t="str" cm="1">
        <f t="array" ref="B678">_xlfn.IFS(G678="Electronics","P001", G678="MRO","P002", G678="Office Supplies","P003", G678="Packaging","P004", G678="Raw Materials","P005")</f>
        <v>P005</v>
      </c>
      <c r="C678" s="8">
        <v>945</v>
      </c>
      <c r="D678" s="8">
        <v>55.14</v>
      </c>
      <c r="E678" s="9">
        <v>0.96899999999999997</v>
      </c>
      <c r="F678" s="8" t="s">
        <v>6</v>
      </c>
      <c r="G678" s="15" t="s">
        <v>38</v>
      </c>
    </row>
    <row r="679" spans="1:7" x14ac:dyDescent="0.2">
      <c r="A679" s="10">
        <v>45274</v>
      </c>
      <c r="B679" s="13" t="str" cm="1">
        <f t="array" ref="B679">_xlfn.IFS(G679="Electronics","P001", G679="MRO","P002", G679="Office Supplies","P003", G679="Packaging","P004", G679="Raw Materials","P005")</f>
        <v>P002</v>
      </c>
      <c r="C679" s="11">
        <v>209</v>
      </c>
      <c r="D679" s="11">
        <v>64.34</v>
      </c>
      <c r="E679" s="9">
        <v>1.032</v>
      </c>
      <c r="F679" s="11" t="s">
        <v>5</v>
      </c>
      <c r="G679" s="16" t="s">
        <v>36</v>
      </c>
    </row>
    <row r="680" spans="1:7" x14ac:dyDescent="0.2">
      <c r="A680" s="7">
        <v>44582</v>
      </c>
      <c r="B680" s="14" t="str" cm="1">
        <f t="array" ref="B680">_xlfn.IFS(G680="Electronics","P001", G680="MRO","P002", G680="Office Supplies","P003", G680="Packaging","P004", G680="Raw Materials","P005")</f>
        <v>P004</v>
      </c>
      <c r="C680" s="8">
        <v>1548</v>
      </c>
      <c r="D680" s="8">
        <v>22.87</v>
      </c>
      <c r="E680" s="9">
        <v>0.999</v>
      </c>
      <c r="F680" s="8" t="s">
        <v>5</v>
      </c>
      <c r="G680" s="15" t="s">
        <v>37</v>
      </c>
    </row>
    <row r="681" spans="1:7" x14ac:dyDescent="0.2">
      <c r="A681" s="10">
        <v>45151</v>
      </c>
      <c r="B681" s="13" t="str" cm="1">
        <f t="array" ref="B681">_xlfn.IFS(G681="Electronics","P001", G681="MRO","P002", G681="Office Supplies","P003", G681="Packaging","P004", G681="Raw Materials","P005")</f>
        <v>P005</v>
      </c>
      <c r="C681" s="11">
        <v>901</v>
      </c>
      <c r="D681" s="11">
        <v>106.3</v>
      </c>
      <c r="E681" s="9">
        <v>0.96899999999999997</v>
      </c>
      <c r="F681" s="11" t="s">
        <v>5</v>
      </c>
      <c r="G681" s="16" t="s">
        <v>38</v>
      </c>
    </row>
    <row r="682" spans="1:7" x14ac:dyDescent="0.2">
      <c r="A682" s="7">
        <v>44951</v>
      </c>
      <c r="B682" s="13" t="str" cm="1">
        <f t="array" ref="B682">_xlfn.IFS(G682="Electronics","P001", G682="MRO","P002", G682="Office Supplies","P003", G682="Packaging","P004", G682="Raw Materials","P005")</f>
        <v>P004</v>
      </c>
      <c r="C682" s="8">
        <v>1737</v>
      </c>
      <c r="D682" s="8">
        <v>31.02</v>
      </c>
      <c r="E682" s="9">
        <v>0.999</v>
      </c>
      <c r="F682" s="8" t="s">
        <v>5</v>
      </c>
      <c r="G682" s="15" t="s">
        <v>37</v>
      </c>
    </row>
    <row r="683" spans="1:7" x14ac:dyDescent="0.2">
      <c r="A683" s="10">
        <v>45050</v>
      </c>
      <c r="B683" s="14" t="str" cm="1">
        <f t="array" ref="B683">_xlfn.IFS(G683="Electronics","P001", G683="MRO","P002", G683="Office Supplies","P003", G683="Packaging","P004", G683="Raw Materials","P005")</f>
        <v>P005</v>
      </c>
      <c r="C683" s="11">
        <v>1981</v>
      </c>
      <c r="D683" s="11">
        <v>90.99</v>
      </c>
      <c r="E683" s="9">
        <v>0.98799999999999999</v>
      </c>
      <c r="F683" s="11" t="s">
        <v>5</v>
      </c>
      <c r="G683" s="16" t="s">
        <v>38</v>
      </c>
    </row>
    <row r="684" spans="1:7" x14ac:dyDescent="0.2">
      <c r="A684" s="7">
        <v>44568</v>
      </c>
      <c r="B684" s="13" t="str" cm="1">
        <f t="array" ref="B684">_xlfn.IFS(G684="Electronics","P001", G684="MRO","P002", G684="Office Supplies","P003", G684="Packaging","P004", G684="Raw Materials","P005")</f>
        <v>P002</v>
      </c>
      <c r="C684" s="8">
        <v>739</v>
      </c>
      <c r="D684" s="8">
        <v>66.09</v>
      </c>
      <c r="E684" s="9">
        <v>0.999</v>
      </c>
      <c r="F684" s="8" t="s">
        <v>5</v>
      </c>
      <c r="G684" s="15" t="s">
        <v>36</v>
      </c>
    </row>
    <row r="685" spans="1:7" x14ac:dyDescent="0.2">
      <c r="A685" s="10">
        <v>44922</v>
      </c>
      <c r="B685" s="14" t="str" cm="1">
        <f t="array" ref="B685">_xlfn.IFS(G685="Electronics","P001", G685="MRO","P002", G685="Office Supplies","P003", G685="Packaging","P004", G685="Raw Materials","P005")</f>
        <v>P005</v>
      </c>
      <c r="C685" s="11">
        <v>1748</v>
      </c>
      <c r="D685" s="11">
        <v>62.84</v>
      </c>
      <c r="E685" s="9">
        <v>1.032</v>
      </c>
      <c r="F685" s="11" t="s">
        <v>5</v>
      </c>
      <c r="G685" s="16" t="s">
        <v>38</v>
      </c>
    </row>
    <row r="686" spans="1:7" x14ac:dyDescent="0.2">
      <c r="A686" s="7">
        <v>44867</v>
      </c>
      <c r="B686" s="13" t="str" cm="1">
        <f t="array" ref="B686">_xlfn.IFS(G686="Electronics","P001", G686="MRO","P002", G686="Office Supplies","P003", G686="Packaging","P004", G686="Raw Materials","P005")</f>
        <v>P003</v>
      </c>
      <c r="C686" s="8">
        <v>429</v>
      </c>
      <c r="D686" s="8">
        <v>55.35</v>
      </c>
      <c r="E686" s="9">
        <v>0.95299999999999996</v>
      </c>
      <c r="F686" s="8" t="s">
        <v>6</v>
      </c>
      <c r="G686" s="15" t="s">
        <v>35</v>
      </c>
    </row>
    <row r="687" spans="1:7" x14ac:dyDescent="0.2">
      <c r="A687" s="10">
        <v>44961</v>
      </c>
      <c r="B687" s="13" t="str" cm="1">
        <f t="array" ref="B687">_xlfn.IFS(G687="Electronics","P001", G687="MRO","P002", G687="Office Supplies","P003", G687="Packaging","P004", G687="Raw Materials","P005")</f>
        <v>P001</v>
      </c>
      <c r="C687" s="11">
        <v>1618</v>
      </c>
      <c r="D687" s="11">
        <v>28.41</v>
      </c>
      <c r="E687" s="9">
        <v>1.0920000000000001</v>
      </c>
      <c r="F687" s="11" t="s">
        <v>5</v>
      </c>
      <c r="G687" s="16" t="s">
        <v>39</v>
      </c>
    </row>
    <row r="688" spans="1:7" x14ac:dyDescent="0.2">
      <c r="A688" s="7">
        <v>44991</v>
      </c>
      <c r="B688" s="14" t="str" cm="1">
        <f t="array" ref="B688">_xlfn.IFS(G688="Electronics","P001", G688="MRO","P002", G688="Office Supplies","P003", G688="Packaging","P004", G688="Raw Materials","P005")</f>
        <v>P004</v>
      </c>
      <c r="C688" s="8">
        <v>1006</v>
      </c>
      <c r="D688" s="8">
        <v>23.66</v>
      </c>
      <c r="E688" s="9">
        <v>1.115</v>
      </c>
      <c r="F688" s="8" t="s">
        <v>6</v>
      </c>
      <c r="G688" s="15" t="s">
        <v>37</v>
      </c>
    </row>
    <row r="689" spans="1:7" x14ac:dyDescent="0.2">
      <c r="A689" s="10">
        <v>45113</v>
      </c>
      <c r="B689" s="13" t="str" cm="1">
        <f t="array" ref="B689">_xlfn.IFS(G689="Electronics","P001", G689="MRO","P002", G689="Office Supplies","P003", G689="Packaging","P004", G689="Raw Materials","P005")</f>
        <v>P001</v>
      </c>
      <c r="C689" s="11">
        <v>740</v>
      </c>
      <c r="D689" s="11">
        <v>29.35</v>
      </c>
      <c r="E689" s="9">
        <v>0.99199999999999999</v>
      </c>
      <c r="F689" s="11" t="s">
        <v>5</v>
      </c>
      <c r="G689" s="16" t="s">
        <v>39</v>
      </c>
    </row>
    <row r="690" spans="1:7" x14ac:dyDescent="0.2">
      <c r="A690" s="7">
        <v>45121</v>
      </c>
      <c r="B690" s="14" t="str" cm="1">
        <f t="array" ref="B690">_xlfn.IFS(G690="Electronics","P001", G690="MRO","P002", G690="Office Supplies","P003", G690="Packaging","P004", G690="Raw Materials","P005")</f>
        <v>P005</v>
      </c>
      <c r="C690" s="8">
        <v>1500</v>
      </c>
      <c r="D690" s="8">
        <v>27.24</v>
      </c>
      <c r="E690" s="9">
        <v>0.99199999999999999</v>
      </c>
      <c r="F690" s="8" t="s">
        <v>5</v>
      </c>
      <c r="G690" s="15" t="s">
        <v>38</v>
      </c>
    </row>
    <row r="691" spans="1:7" x14ac:dyDescent="0.2">
      <c r="A691" s="10">
        <v>45179</v>
      </c>
      <c r="B691" s="13" t="str" cm="1">
        <f t="array" ref="B691">_xlfn.IFS(G691="Electronics","P001", G691="MRO","P002", G691="Office Supplies","P003", G691="Packaging","P004", G691="Raw Materials","P005")</f>
        <v>P003</v>
      </c>
      <c r="C691" s="11">
        <v>1686</v>
      </c>
      <c r="D691" s="11">
        <v>77.150000000000006</v>
      </c>
      <c r="E691" s="9">
        <v>0.98099999999999998</v>
      </c>
      <c r="F691" s="11" t="s">
        <v>5</v>
      </c>
      <c r="G691" s="16" t="s">
        <v>35</v>
      </c>
    </row>
    <row r="692" spans="1:7" x14ac:dyDescent="0.2">
      <c r="A692" s="7">
        <v>44787</v>
      </c>
      <c r="B692" s="13" t="str" cm="1">
        <f t="array" ref="B692">_xlfn.IFS(G692="Electronics","P001", G692="MRO","P002", G692="Office Supplies","P003", G692="Packaging","P004", G692="Raw Materials","P005")</f>
        <v>P005</v>
      </c>
      <c r="C692" s="8">
        <v>1341</v>
      </c>
      <c r="D692" s="8">
        <v>41.75</v>
      </c>
      <c r="E692" s="9">
        <v>0.96899999999999997</v>
      </c>
      <c r="F692" s="8" t="s">
        <v>5</v>
      </c>
      <c r="G692" s="15" t="s">
        <v>38</v>
      </c>
    </row>
    <row r="693" spans="1:7" x14ac:dyDescent="0.2">
      <c r="A693" s="10">
        <v>45061</v>
      </c>
      <c r="B693" s="14" t="str" cm="1">
        <f t="array" ref="B693">_xlfn.IFS(G693="Electronics","P001", G693="MRO","P002", G693="Office Supplies","P003", G693="Packaging","P004", G693="Raw Materials","P005")</f>
        <v>P002</v>
      </c>
      <c r="C693" s="11">
        <v>1908</v>
      </c>
      <c r="D693" s="11">
        <v>15.31</v>
      </c>
      <c r="E693" s="9">
        <v>0.98799999999999999</v>
      </c>
      <c r="F693" s="11" t="s">
        <v>5</v>
      </c>
      <c r="G693" s="16" t="s">
        <v>36</v>
      </c>
    </row>
    <row r="694" spans="1:7" x14ac:dyDescent="0.2">
      <c r="A694" s="7">
        <v>44786</v>
      </c>
      <c r="B694" s="13" t="str" cm="1">
        <f t="array" ref="B694">_xlfn.IFS(G694="Electronics","P001", G694="MRO","P002", G694="Office Supplies","P003", G694="Packaging","P004", G694="Raw Materials","P005")</f>
        <v>P002</v>
      </c>
      <c r="C694" s="8">
        <v>1650</v>
      </c>
      <c r="D694" s="8">
        <v>90.45</v>
      </c>
      <c r="E694" s="9">
        <v>0.96899999999999997</v>
      </c>
      <c r="F694" s="8" t="s">
        <v>5</v>
      </c>
      <c r="G694" s="15" t="s">
        <v>36</v>
      </c>
    </row>
    <row r="695" spans="1:7" x14ac:dyDescent="0.2">
      <c r="A695" s="10">
        <v>44841</v>
      </c>
      <c r="B695" s="14" t="str" cm="1">
        <f t="array" ref="B695">_xlfn.IFS(G695="Electronics","P001", G695="MRO","P002", G695="Office Supplies","P003", G695="Packaging","P004", G695="Raw Materials","P005")</f>
        <v>P002</v>
      </c>
      <c r="C695" s="11">
        <v>1490</v>
      </c>
      <c r="D695" s="11">
        <v>81.680000000000007</v>
      </c>
      <c r="E695" s="9">
        <v>0.94299999999999995</v>
      </c>
      <c r="F695" s="11" t="s">
        <v>5</v>
      </c>
      <c r="G695" s="16" t="s">
        <v>36</v>
      </c>
    </row>
    <row r="696" spans="1:7" x14ac:dyDescent="0.2">
      <c r="A696" s="7">
        <v>45008</v>
      </c>
      <c r="B696" s="13" t="str" cm="1">
        <f t="array" ref="B696">_xlfn.IFS(G696="Electronics","P001", G696="MRO","P002", G696="Office Supplies","P003", G696="Packaging","P004", G696="Raw Materials","P005")</f>
        <v>P005</v>
      </c>
      <c r="C696" s="8">
        <v>1241</v>
      </c>
      <c r="D696" s="8">
        <v>97.56</v>
      </c>
      <c r="E696" s="9">
        <v>1.115</v>
      </c>
      <c r="F696" s="8" t="s">
        <v>5</v>
      </c>
      <c r="G696" s="15" t="s">
        <v>38</v>
      </c>
    </row>
    <row r="697" spans="1:7" x14ac:dyDescent="0.2">
      <c r="A697" s="10">
        <v>45059</v>
      </c>
      <c r="B697" s="13" t="str" cm="1">
        <f t="array" ref="B697">_xlfn.IFS(G697="Electronics","P001", G697="MRO","P002", G697="Office Supplies","P003", G697="Packaging","P004", G697="Raw Materials","P005")</f>
        <v>P002</v>
      </c>
      <c r="C697" s="11">
        <v>1915</v>
      </c>
      <c r="D697" s="11">
        <v>102.66</v>
      </c>
      <c r="E697" s="9">
        <v>0.98799999999999999</v>
      </c>
      <c r="F697" s="11" t="s">
        <v>5</v>
      </c>
      <c r="G697" s="16" t="s">
        <v>36</v>
      </c>
    </row>
    <row r="698" spans="1:7" x14ac:dyDescent="0.2">
      <c r="A698" s="7">
        <v>44591</v>
      </c>
      <c r="B698" s="14" t="str" cm="1">
        <f t="array" ref="B698">_xlfn.IFS(G698="Electronics","P001", G698="MRO","P002", G698="Office Supplies","P003", G698="Packaging","P004", G698="Raw Materials","P005")</f>
        <v>P005</v>
      </c>
      <c r="C698" s="8">
        <v>1116</v>
      </c>
      <c r="D698" s="8">
        <v>24.28</v>
      </c>
      <c r="E698" s="9">
        <v>0.999</v>
      </c>
      <c r="F698" s="8" t="s">
        <v>5</v>
      </c>
      <c r="G698" s="15" t="s">
        <v>38</v>
      </c>
    </row>
    <row r="699" spans="1:7" x14ac:dyDescent="0.2">
      <c r="A699" s="10">
        <v>44960</v>
      </c>
      <c r="B699" s="13" t="str" cm="1">
        <f t="array" ref="B699">_xlfn.IFS(G699="Electronics","P001", G699="MRO","P002", G699="Office Supplies","P003", G699="Packaging","P004", G699="Raw Materials","P005")</f>
        <v>P005</v>
      </c>
      <c r="C699" s="11">
        <v>1629</v>
      </c>
      <c r="D699" s="11">
        <v>43.28</v>
      </c>
      <c r="E699" s="9">
        <v>1.0920000000000001</v>
      </c>
      <c r="F699" s="11" t="s">
        <v>5</v>
      </c>
      <c r="G699" s="16" t="s">
        <v>38</v>
      </c>
    </row>
    <row r="700" spans="1:7" x14ac:dyDescent="0.2">
      <c r="A700" s="7">
        <v>44906</v>
      </c>
      <c r="B700" s="14" t="str" cm="1">
        <f t="array" ref="B700">_xlfn.IFS(G700="Electronics","P001", G700="MRO","P002", G700="Office Supplies","P003", G700="Packaging","P004", G700="Raw Materials","P005")</f>
        <v>P003</v>
      </c>
      <c r="C700" s="8">
        <v>334</v>
      </c>
      <c r="D700" s="8">
        <v>74.63</v>
      </c>
      <c r="E700" s="9">
        <v>1.032</v>
      </c>
      <c r="F700" s="8" t="s">
        <v>5</v>
      </c>
      <c r="G700" s="15" t="s">
        <v>35</v>
      </c>
    </row>
    <row r="701" spans="1:7" x14ac:dyDescent="0.2">
      <c r="A701" s="10">
        <v>45246</v>
      </c>
      <c r="B701" s="13" t="str" cm="1">
        <f t="array" ref="B701">_xlfn.IFS(G701="Electronics","P001", G701="MRO","P002", G701="Office Supplies","P003", G701="Packaging","P004", G701="Raw Materials","P005")</f>
        <v>P004</v>
      </c>
      <c r="C701" s="11">
        <v>446</v>
      </c>
      <c r="D701" s="11">
        <v>70.37</v>
      </c>
      <c r="E701" s="9">
        <v>0.95299999999999996</v>
      </c>
      <c r="F701" s="11" t="s">
        <v>5</v>
      </c>
      <c r="G701" s="16" t="s">
        <v>37</v>
      </c>
    </row>
    <row r="702" spans="1:7" x14ac:dyDescent="0.2">
      <c r="A702" s="7">
        <v>45257</v>
      </c>
      <c r="B702" s="13" t="str" cm="1">
        <f t="array" ref="B702">_xlfn.IFS(G702="Electronics","P001", G702="MRO","P002", G702="Office Supplies","P003", G702="Packaging","P004", G702="Raw Materials","P005")</f>
        <v>P001</v>
      </c>
      <c r="C702" s="8">
        <v>61</v>
      </c>
      <c r="D702" s="8">
        <v>24.62</v>
      </c>
      <c r="E702" s="9">
        <v>0.95299999999999996</v>
      </c>
      <c r="F702" s="8" t="s">
        <v>5</v>
      </c>
      <c r="G702" s="15" t="s">
        <v>39</v>
      </c>
    </row>
    <row r="703" spans="1:7" x14ac:dyDescent="0.2">
      <c r="A703" s="10">
        <v>44976</v>
      </c>
      <c r="B703" s="14" t="str" cm="1">
        <f t="array" ref="B703">_xlfn.IFS(G703="Electronics","P001", G703="MRO","P002", G703="Office Supplies","P003", G703="Packaging","P004", G703="Raw Materials","P005")</f>
        <v>P004</v>
      </c>
      <c r="C703" s="11">
        <v>1680</v>
      </c>
      <c r="D703" s="11">
        <v>87.53</v>
      </c>
      <c r="E703" s="9">
        <v>1.0920000000000001</v>
      </c>
      <c r="F703" s="11" t="s">
        <v>5</v>
      </c>
      <c r="G703" s="16" t="s">
        <v>37</v>
      </c>
    </row>
    <row r="704" spans="1:7" x14ac:dyDescent="0.2">
      <c r="A704" s="7">
        <v>44731</v>
      </c>
      <c r="B704" s="13" t="str" cm="1">
        <f t="array" ref="B704">_xlfn.IFS(G704="Electronics","P001", G704="MRO","P002", G704="Office Supplies","P003", G704="Packaging","P004", G704="Raw Materials","P005")</f>
        <v>P001</v>
      </c>
      <c r="C704" s="8">
        <v>1375</v>
      </c>
      <c r="D704" s="8">
        <v>30.02</v>
      </c>
      <c r="E704" s="9">
        <v>0.89100000000000001</v>
      </c>
      <c r="F704" s="8" t="s">
        <v>5</v>
      </c>
      <c r="G704" s="15" t="s">
        <v>39</v>
      </c>
    </row>
    <row r="705" spans="1:7" x14ac:dyDescent="0.2">
      <c r="A705" s="10">
        <v>45040</v>
      </c>
      <c r="B705" s="14" t="str" cm="1">
        <f t="array" ref="B705">_xlfn.IFS(G705="Electronics","P001", G705="MRO","P002", G705="Office Supplies","P003", G705="Packaging","P004", G705="Raw Materials","P005")</f>
        <v>P001</v>
      </c>
      <c r="C705" s="11">
        <v>1971</v>
      </c>
      <c r="D705" s="11">
        <v>30.48</v>
      </c>
      <c r="E705" s="9">
        <v>1.032</v>
      </c>
      <c r="F705" s="11" t="s">
        <v>5</v>
      </c>
      <c r="G705" s="16" t="s">
        <v>39</v>
      </c>
    </row>
    <row r="706" spans="1:7" x14ac:dyDescent="0.2">
      <c r="A706" s="7">
        <v>44692</v>
      </c>
      <c r="B706" s="13" t="str" cm="1">
        <f t="array" ref="B706">_xlfn.IFS(G706="Electronics","P001", G706="MRO","P002", G706="Office Supplies","P003", G706="Packaging","P004", G706="Raw Materials","P005")</f>
        <v>P005</v>
      </c>
      <c r="C706" s="8">
        <v>1326</v>
      </c>
      <c r="D706" s="8">
        <v>56.21</v>
      </c>
      <c r="E706" s="9">
        <v>0.98799999999999999</v>
      </c>
      <c r="F706" s="8" t="s">
        <v>5</v>
      </c>
      <c r="G706" s="15" t="s">
        <v>38</v>
      </c>
    </row>
    <row r="707" spans="1:7" x14ac:dyDescent="0.2">
      <c r="A707" s="10">
        <v>45199</v>
      </c>
      <c r="B707" s="13" t="str" cm="1">
        <f t="array" ref="B707">_xlfn.IFS(G707="Electronics","P001", G707="MRO","P002", G707="Office Supplies","P003", G707="Packaging","P004", G707="Raw Materials","P005")</f>
        <v>P002</v>
      </c>
      <c r="C707" s="11">
        <v>548</v>
      </c>
      <c r="D707" s="11">
        <v>61.87</v>
      </c>
      <c r="E707" s="9">
        <v>0.98099999999999998</v>
      </c>
      <c r="F707" s="11" t="s">
        <v>5</v>
      </c>
      <c r="G707" s="16" t="s">
        <v>36</v>
      </c>
    </row>
    <row r="708" spans="1:7" x14ac:dyDescent="0.2">
      <c r="A708" s="7">
        <v>45108</v>
      </c>
      <c r="B708" s="14" t="str" cm="1">
        <f t="array" ref="B708">_xlfn.IFS(G708="Electronics","P001", G708="MRO","P002", G708="Office Supplies","P003", G708="Packaging","P004", G708="Raw Materials","P005")</f>
        <v>P002</v>
      </c>
      <c r="C708" s="8">
        <v>803</v>
      </c>
      <c r="D708" s="8">
        <v>61.53</v>
      </c>
      <c r="E708" s="9">
        <v>0.99199999999999999</v>
      </c>
      <c r="F708" s="8" t="s">
        <v>5</v>
      </c>
      <c r="G708" s="15" t="s">
        <v>36</v>
      </c>
    </row>
    <row r="709" spans="1:7" x14ac:dyDescent="0.2">
      <c r="A709" s="10">
        <v>44589</v>
      </c>
      <c r="B709" s="13" t="str" cm="1">
        <f t="array" ref="B709">_xlfn.IFS(G709="Electronics","P001", G709="MRO","P002", G709="Office Supplies","P003", G709="Packaging","P004", G709="Raw Materials","P005")</f>
        <v>P002</v>
      </c>
      <c r="C709" s="11">
        <v>84</v>
      </c>
      <c r="D709" s="11">
        <v>15.55</v>
      </c>
      <c r="E709" s="9">
        <v>0.999</v>
      </c>
      <c r="F709" s="11" t="s">
        <v>5</v>
      </c>
      <c r="G709" s="16" t="s">
        <v>36</v>
      </c>
    </row>
    <row r="710" spans="1:7" x14ac:dyDescent="0.2">
      <c r="A710" s="7">
        <v>44965</v>
      </c>
      <c r="B710" s="14" t="str" cm="1">
        <f t="array" ref="B710">_xlfn.IFS(G710="Electronics","P001", G710="MRO","P002", G710="Office Supplies","P003", G710="Packaging","P004", G710="Raw Materials","P005")</f>
        <v>P004</v>
      </c>
      <c r="C710" s="8">
        <v>776</v>
      </c>
      <c r="D710" s="8">
        <v>90.89</v>
      </c>
      <c r="E710" s="9">
        <v>1.0920000000000001</v>
      </c>
      <c r="F710" s="8" t="s">
        <v>5</v>
      </c>
      <c r="G710" s="15" t="s">
        <v>37</v>
      </c>
    </row>
    <row r="711" spans="1:7" x14ac:dyDescent="0.2">
      <c r="A711" s="10">
        <v>45168</v>
      </c>
      <c r="B711" s="13" t="str" cm="1">
        <f t="array" ref="B711">_xlfn.IFS(G711="Electronics","P001", G711="MRO","P002", G711="Office Supplies","P003", G711="Packaging","P004", G711="Raw Materials","P005")</f>
        <v>P002</v>
      </c>
      <c r="C711" s="11">
        <v>898</v>
      </c>
      <c r="D711" s="11">
        <v>35.54</v>
      </c>
      <c r="E711" s="9">
        <v>0.96899999999999997</v>
      </c>
      <c r="F711" s="11" t="s">
        <v>6</v>
      </c>
      <c r="G711" s="16" t="s">
        <v>36</v>
      </c>
    </row>
    <row r="712" spans="1:7" x14ac:dyDescent="0.2">
      <c r="A712" s="7">
        <v>45139</v>
      </c>
      <c r="B712" s="13" t="str" cm="1">
        <f t="array" ref="B712">_xlfn.IFS(G712="Electronics","P001", G712="MRO","P002", G712="Office Supplies","P003", G712="Packaging","P004", G712="Raw Materials","P005")</f>
        <v>P003</v>
      </c>
      <c r="C712" s="8">
        <v>139</v>
      </c>
      <c r="D712" s="8">
        <v>20.18</v>
      </c>
      <c r="E712" s="9">
        <v>0.96899999999999997</v>
      </c>
      <c r="F712" s="8" t="s">
        <v>5</v>
      </c>
      <c r="G712" s="15" t="s">
        <v>35</v>
      </c>
    </row>
    <row r="713" spans="1:7" x14ac:dyDescent="0.2">
      <c r="A713" s="10">
        <v>45240</v>
      </c>
      <c r="B713" s="14" t="str" cm="1">
        <f t="array" ref="B713">_xlfn.IFS(G713="Electronics","P001", G713="MRO","P002", G713="Office Supplies","P003", G713="Packaging","P004", G713="Raw Materials","P005")</f>
        <v>P005</v>
      </c>
      <c r="C713" s="11">
        <v>825</v>
      </c>
      <c r="D713" s="11">
        <v>97.65</v>
      </c>
      <c r="E713" s="9">
        <v>0.95299999999999996</v>
      </c>
      <c r="F713" s="11" t="s">
        <v>5</v>
      </c>
      <c r="G713" s="16" t="s">
        <v>38</v>
      </c>
    </row>
    <row r="714" spans="1:7" x14ac:dyDescent="0.2">
      <c r="A714" s="7">
        <v>44589</v>
      </c>
      <c r="B714" s="13" t="str" cm="1">
        <f t="array" ref="B714">_xlfn.IFS(G714="Electronics","P001", G714="MRO","P002", G714="Office Supplies","P003", G714="Packaging","P004", G714="Raw Materials","P005")</f>
        <v>P002</v>
      </c>
      <c r="C714" s="8">
        <v>654</v>
      </c>
      <c r="D714" s="8">
        <v>90.31</v>
      </c>
      <c r="E714" s="9">
        <v>0.999</v>
      </c>
      <c r="F714" s="8" t="s">
        <v>5</v>
      </c>
      <c r="G714" s="15" t="s">
        <v>36</v>
      </c>
    </row>
    <row r="715" spans="1:7" x14ac:dyDescent="0.2">
      <c r="A715" s="10">
        <v>44647</v>
      </c>
      <c r="B715" s="14" t="str" cm="1">
        <f t="array" ref="B715">_xlfn.IFS(G715="Electronics","P001", G715="MRO","P002", G715="Office Supplies","P003", G715="Packaging","P004", G715="Raw Materials","P005")</f>
        <v>P002</v>
      </c>
      <c r="C715" s="11">
        <v>1995</v>
      </c>
      <c r="D715" s="11">
        <v>82.65</v>
      </c>
      <c r="E715" s="9">
        <v>1.115</v>
      </c>
      <c r="F715" s="11" t="s">
        <v>6</v>
      </c>
      <c r="G715" s="16" t="s">
        <v>36</v>
      </c>
    </row>
    <row r="716" spans="1:7" x14ac:dyDescent="0.2">
      <c r="A716" s="7">
        <v>45220</v>
      </c>
      <c r="B716" s="13" t="str" cm="1">
        <f t="array" ref="B716">_xlfn.IFS(G716="Electronics","P001", G716="MRO","P002", G716="Office Supplies","P003", G716="Packaging","P004", G716="Raw Materials","P005")</f>
        <v>P002</v>
      </c>
      <c r="C716" s="8">
        <v>1019</v>
      </c>
      <c r="D716" s="8">
        <v>77.930000000000007</v>
      </c>
      <c r="E716" s="9">
        <v>0.94299999999999995</v>
      </c>
      <c r="F716" s="8" t="s">
        <v>6</v>
      </c>
      <c r="G716" s="15" t="s">
        <v>36</v>
      </c>
    </row>
    <row r="717" spans="1:7" x14ac:dyDescent="0.2">
      <c r="A717" s="10">
        <v>45000</v>
      </c>
      <c r="B717" s="13" t="str" cm="1">
        <f t="array" ref="B717">_xlfn.IFS(G717="Electronics","P001", G717="MRO","P002", G717="Office Supplies","P003", G717="Packaging","P004", G717="Raw Materials","P005")</f>
        <v>P004</v>
      </c>
      <c r="C717" s="11">
        <v>1675</v>
      </c>
      <c r="D717" s="11">
        <v>65.34</v>
      </c>
      <c r="E717" s="9">
        <v>1.115</v>
      </c>
      <c r="F717" s="11" t="s">
        <v>5</v>
      </c>
      <c r="G717" s="16" t="s">
        <v>37</v>
      </c>
    </row>
    <row r="718" spans="1:7" x14ac:dyDescent="0.2">
      <c r="A718" s="7">
        <v>44700</v>
      </c>
      <c r="B718" s="14" t="str" cm="1">
        <f t="array" ref="B718">_xlfn.IFS(G718="Electronics","P001", G718="MRO","P002", G718="Office Supplies","P003", G718="Packaging","P004", G718="Raw Materials","P005")</f>
        <v>P005</v>
      </c>
      <c r="C718" s="8">
        <v>1071</v>
      </c>
      <c r="D718" s="8">
        <v>58.5</v>
      </c>
      <c r="E718" s="9">
        <v>0.98799999999999999</v>
      </c>
      <c r="F718" s="8" t="s">
        <v>5</v>
      </c>
      <c r="G718" s="15" t="s">
        <v>38</v>
      </c>
    </row>
    <row r="719" spans="1:7" x14ac:dyDescent="0.2">
      <c r="A719" s="10">
        <v>45034</v>
      </c>
      <c r="B719" s="13" t="str" cm="1">
        <f t="array" ref="B719">_xlfn.IFS(G719="Electronics","P001", G719="MRO","P002", G719="Office Supplies","P003", G719="Packaging","P004", G719="Raw Materials","P005")</f>
        <v>P003</v>
      </c>
      <c r="C719" s="11">
        <v>467</v>
      </c>
      <c r="D719" s="11">
        <v>17.11</v>
      </c>
      <c r="E719" s="9">
        <v>1.032</v>
      </c>
      <c r="F719" s="11" t="s">
        <v>5</v>
      </c>
      <c r="G719" s="16" t="s">
        <v>35</v>
      </c>
    </row>
    <row r="720" spans="1:7" x14ac:dyDescent="0.2">
      <c r="A720" s="7">
        <v>44748</v>
      </c>
      <c r="B720" s="14" t="str" cm="1">
        <f t="array" ref="B720">_xlfn.IFS(G720="Electronics","P001", G720="MRO","P002", G720="Office Supplies","P003", G720="Packaging","P004", G720="Raw Materials","P005")</f>
        <v>P002</v>
      </c>
      <c r="C720" s="8">
        <v>164</v>
      </c>
      <c r="D720" s="8">
        <v>47.46</v>
      </c>
      <c r="E720" s="9">
        <v>0.99199999999999999</v>
      </c>
      <c r="F720" s="8" t="s">
        <v>5</v>
      </c>
      <c r="G720" s="15" t="s">
        <v>36</v>
      </c>
    </row>
    <row r="721" spans="1:7" x14ac:dyDescent="0.2">
      <c r="A721" s="10">
        <v>44613</v>
      </c>
      <c r="B721" s="13" t="str" cm="1">
        <f t="array" ref="B721">_xlfn.IFS(G721="Electronics","P001", G721="MRO","P002", G721="Office Supplies","P003", G721="Packaging","P004", G721="Raw Materials","P005")</f>
        <v>P001</v>
      </c>
      <c r="C721" s="11">
        <v>666</v>
      </c>
      <c r="D721" s="11">
        <v>41.13</v>
      </c>
      <c r="E721" s="9">
        <v>1.0920000000000001</v>
      </c>
      <c r="F721" s="11" t="s">
        <v>5</v>
      </c>
      <c r="G721" s="16" t="s">
        <v>39</v>
      </c>
    </row>
    <row r="722" spans="1:7" x14ac:dyDescent="0.2">
      <c r="A722" s="7">
        <v>44828</v>
      </c>
      <c r="B722" s="13" t="str" cm="1">
        <f t="array" ref="B722">_xlfn.IFS(G722="Electronics","P001", G722="MRO","P002", G722="Office Supplies","P003", G722="Packaging","P004", G722="Raw Materials","P005")</f>
        <v>P004</v>
      </c>
      <c r="C722" s="8">
        <v>1976</v>
      </c>
      <c r="D722" s="8">
        <v>31.56</v>
      </c>
      <c r="E722" s="9">
        <v>0.98099999999999998</v>
      </c>
      <c r="F722" s="8" t="s">
        <v>6</v>
      </c>
      <c r="G722" s="15" t="s">
        <v>37</v>
      </c>
    </row>
    <row r="723" spans="1:7" x14ac:dyDescent="0.2">
      <c r="A723" s="10">
        <v>44950</v>
      </c>
      <c r="B723" s="14" t="str" cm="1">
        <f t="array" ref="B723">_xlfn.IFS(G723="Electronics","P001", G723="MRO","P002", G723="Office Supplies","P003", G723="Packaging","P004", G723="Raw Materials","P005")</f>
        <v>P002</v>
      </c>
      <c r="C723" s="11">
        <v>1269</v>
      </c>
      <c r="D723" s="11">
        <v>71.86</v>
      </c>
      <c r="E723" s="9">
        <v>0.999</v>
      </c>
      <c r="F723" s="11" t="s">
        <v>5</v>
      </c>
      <c r="G723" s="16" t="s">
        <v>36</v>
      </c>
    </row>
    <row r="724" spans="1:7" x14ac:dyDescent="0.2">
      <c r="A724" s="7">
        <v>44897</v>
      </c>
      <c r="B724" s="13" t="str" cm="1">
        <f t="array" ref="B724">_xlfn.IFS(G724="Electronics","P001", G724="MRO","P002", G724="Office Supplies","P003", G724="Packaging","P004", G724="Raw Materials","P005")</f>
        <v>P002</v>
      </c>
      <c r="C724" s="8">
        <v>875</v>
      </c>
      <c r="D724" s="8">
        <v>51.8</v>
      </c>
      <c r="E724" s="9">
        <v>1.032</v>
      </c>
      <c r="F724" s="8" t="s">
        <v>5</v>
      </c>
      <c r="G724" s="15" t="s">
        <v>36</v>
      </c>
    </row>
    <row r="725" spans="1:7" x14ac:dyDescent="0.2">
      <c r="A725" s="10">
        <v>44778</v>
      </c>
      <c r="B725" s="14" t="str" cm="1">
        <f t="array" ref="B725">_xlfn.IFS(G725="Electronics","P001", G725="MRO","P002", G725="Office Supplies","P003", G725="Packaging","P004", G725="Raw Materials","P005")</f>
        <v>P004</v>
      </c>
      <c r="C725" s="11">
        <v>1574</v>
      </c>
      <c r="D725" s="11">
        <v>15.85</v>
      </c>
      <c r="E725" s="9">
        <v>0.96899999999999997</v>
      </c>
      <c r="F725" s="11" t="s">
        <v>5</v>
      </c>
      <c r="G725" s="16" t="s">
        <v>37</v>
      </c>
    </row>
    <row r="726" spans="1:7" x14ac:dyDescent="0.2">
      <c r="A726" s="7">
        <v>45027</v>
      </c>
      <c r="B726" s="13" t="str" cm="1">
        <f t="array" ref="B726">_xlfn.IFS(G726="Electronics","P001", G726="MRO","P002", G726="Office Supplies","P003", G726="Packaging","P004", G726="Raw Materials","P005")</f>
        <v>P003</v>
      </c>
      <c r="C726" s="8">
        <v>1699</v>
      </c>
      <c r="D726" s="8">
        <v>29.34</v>
      </c>
      <c r="E726" s="9">
        <v>1.032</v>
      </c>
      <c r="F726" s="8" t="s">
        <v>5</v>
      </c>
      <c r="G726" s="15" t="s">
        <v>35</v>
      </c>
    </row>
    <row r="727" spans="1:7" x14ac:dyDescent="0.2">
      <c r="A727" s="10">
        <v>44896</v>
      </c>
      <c r="B727" s="13" t="str" cm="1">
        <f t="array" ref="B727">_xlfn.IFS(G727="Electronics","P001", G727="MRO","P002", G727="Office Supplies","P003", G727="Packaging","P004", G727="Raw Materials","P005")</f>
        <v>P001</v>
      </c>
      <c r="C727" s="11">
        <v>1566</v>
      </c>
      <c r="D727" s="11">
        <v>71.27</v>
      </c>
      <c r="E727" s="9">
        <v>1.032</v>
      </c>
      <c r="F727" s="11" t="s">
        <v>5</v>
      </c>
      <c r="G727" s="16" t="s">
        <v>39</v>
      </c>
    </row>
    <row r="728" spans="1:7" x14ac:dyDescent="0.2">
      <c r="A728" s="7">
        <v>44907</v>
      </c>
      <c r="B728" s="14" t="str" cm="1">
        <f t="array" ref="B728">_xlfn.IFS(G728="Electronics","P001", G728="MRO","P002", G728="Office Supplies","P003", G728="Packaging","P004", G728="Raw Materials","P005")</f>
        <v>P001</v>
      </c>
      <c r="C728" s="8">
        <v>1148</v>
      </c>
      <c r="D728" s="8">
        <v>17.16</v>
      </c>
      <c r="E728" s="9">
        <v>1.032</v>
      </c>
      <c r="F728" s="8" t="s">
        <v>5</v>
      </c>
      <c r="G728" s="15" t="s">
        <v>39</v>
      </c>
    </row>
    <row r="729" spans="1:7" x14ac:dyDescent="0.2">
      <c r="A729" s="10">
        <v>44950</v>
      </c>
      <c r="B729" s="13" t="str" cm="1">
        <f t="array" ref="B729">_xlfn.IFS(G729="Electronics","P001", G729="MRO","P002", G729="Office Supplies","P003", G729="Packaging","P004", G729="Raw Materials","P005")</f>
        <v>P003</v>
      </c>
      <c r="C729" s="11">
        <v>462</v>
      </c>
      <c r="D729" s="11">
        <v>83.14</v>
      </c>
      <c r="E729" s="9">
        <v>0.999</v>
      </c>
      <c r="F729" s="11" t="s">
        <v>5</v>
      </c>
      <c r="G729" s="16" t="s">
        <v>35</v>
      </c>
    </row>
    <row r="730" spans="1:7" x14ac:dyDescent="0.2">
      <c r="A730" s="7">
        <v>44846</v>
      </c>
      <c r="B730" s="14" t="str" cm="1">
        <f t="array" ref="B730">_xlfn.IFS(G730="Electronics","P001", G730="MRO","P002", G730="Office Supplies","P003", G730="Packaging","P004", G730="Raw Materials","P005")</f>
        <v>P004</v>
      </c>
      <c r="C730" s="8">
        <v>1449</v>
      </c>
      <c r="D730" s="8">
        <v>49.28</v>
      </c>
      <c r="E730" s="9">
        <v>0.94299999999999995</v>
      </c>
      <c r="F730" s="8" t="s">
        <v>5</v>
      </c>
      <c r="G730" s="15" t="s">
        <v>37</v>
      </c>
    </row>
    <row r="731" spans="1:7" x14ac:dyDescent="0.2">
      <c r="A731" s="10">
        <v>44993</v>
      </c>
      <c r="B731" s="13" t="str" cm="1">
        <f t="array" ref="B731">_xlfn.IFS(G731="Electronics","P001", G731="MRO","P002", G731="Office Supplies","P003", G731="Packaging","P004", G731="Raw Materials","P005")</f>
        <v>P002</v>
      </c>
      <c r="C731" s="11">
        <v>1493</v>
      </c>
      <c r="D731" s="11">
        <v>52.51</v>
      </c>
      <c r="E731" s="9">
        <v>1.115</v>
      </c>
      <c r="F731" s="11" t="s">
        <v>5</v>
      </c>
      <c r="G731" s="16" t="s">
        <v>36</v>
      </c>
    </row>
    <row r="732" spans="1:7" x14ac:dyDescent="0.2">
      <c r="A732" s="7">
        <v>44820</v>
      </c>
      <c r="B732" s="13" t="str" cm="1">
        <f t="array" ref="B732">_xlfn.IFS(G732="Electronics","P001", G732="MRO","P002", G732="Office Supplies","P003", G732="Packaging","P004", G732="Raw Materials","P005")</f>
        <v>P003</v>
      </c>
      <c r="C732" s="8">
        <v>778</v>
      </c>
      <c r="D732" s="8">
        <v>62.08</v>
      </c>
      <c r="E732" s="9">
        <v>0.98099999999999998</v>
      </c>
      <c r="F732" s="8" t="s">
        <v>6</v>
      </c>
      <c r="G732" s="15" t="s">
        <v>35</v>
      </c>
    </row>
    <row r="733" spans="1:7" x14ac:dyDescent="0.2">
      <c r="A733" s="10">
        <v>44645</v>
      </c>
      <c r="B733" s="14" t="str" cm="1">
        <f t="array" ref="B733">_xlfn.IFS(G733="Electronics","P001", G733="MRO","P002", G733="Office Supplies","P003", G733="Packaging","P004", G733="Raw Materials","P005")</f>
        <v>P004</v>
      </c>
      <c r="C733" s="11">
        <v>1350</v>
      </c>
      <c r="D733" s="11">
        <v>82.34</v>
      </c>
      <c r="E733" s="9">
        <v>1.115</v>
      </c>
      <c r="F733" s="11" t="s">
        <v>6</v>
      </c>
      <c r="G733" s="16" t="s">
        <v>37</v>
      </c>
    </row>
    <row r="734" spans="1:7" x14ac:dyDescent="0.2">
      <c r="A734" s="7">
        <v>45043</v>
      </c>
      <c r="B734" s="13" t="str" cm="1">
        <f t="array" ref="B734">_xlfn.IFS(G734="Electronics","P001", G734="MRO","P002", G734="Office Supplies","P003", G734="Packaging","P004", G734="Raw Materials","P005")</f>
        <v>P004</v>
      </c>
      <c r="C734" s="8">
        <v>1070</v>
      </c>
      <c r="D734" s="8">
        <v>40.07</v>
      </c>
      <c r="E734" s="9">
        <v>1.032</v>
      </c>
      <c r="F734" s="8" t="s">
        <v>5</v>
      </c>
      <c r="G734" s="15" t="s">
        <v>37</v>
      </c>
    </row>
    <row r="735" spans="1:7" x14ac:dyDescent="0.2">
      <c r="A735" s="10">
        <v>44581</v>
      </c>
      <c r="B735" s="14" t="str" cm="1">
        <f t="array" ref="B735">_xlfn.IFS(G735="Electronics","P001", G735="MRO","P002", G735="Office Supplies","P003", G735="Packaging","P004", G735="Raw Materials","P005")</f>
        <v>P004</v>
      </c>
      <c r="C735" s="11">
        <v>810</v>
      </c>
      <c r="D735" s="11">
        <v>66.8</v>
      </c>
      <c r="E735" s="9">
        <v>0.999</v>
      </c>
      <c r="F735" s="11" t="s">
        <v>5</v>
      </c>
      <c r="G735" s="16" t="s">
        <v>37</v>
      </c>
    </row>
    <row r="736" spans="1:7" x14ac:dyDescent="0.2">
      <c r="A736" s="7">
        <v>45114</v>
      </c>
      <c r="B736" s="13" t="str" cm="1">
        <f t="array" ref="B736">_xlfn.IFS(G736="Electronics","P001", G736="MRO","P002", G736="Office Supplies","P003", G736="Packaging","P004", G736="Raw Materials","P005")</f>
        <v>P004</v>
      </c>
      <c r="C736" s="8">
        <v>725</v>
      </c>
      <c r="D736" s="8">
        <v>62.1</v>
      </c>
      <c r="E736" s="9">
        <v>0.99199999999999999</v>
      </c>
      <c r="F736" s="8" t="s">
        <v>5</v>
      </c>
      <c r="G736" s="15" t="s">
        <v>37</v>
      </c>
    </row>
    <row r="737" spans="1:7" x14ac:dyDescent="0.2">
      <c r="A737" s="10">
        <v>44615</v>
      </c>
      <c r="B737" s="13" t="str" cm="1">
        <f t="array" ref="B737">_xlfn.IFS(G737="Electronics","P001", G737="MRO","P002", G737="Office Supplies","P003", G737="Packaging","P004", G737="Raw Materials","P005")</f>
        <v>P001</v>
      </c>
      <c r="C737" s="11">
        <v>1467</v>
      </c>
      <c r="D737" s="11">
        <v>30.5</v>
      </c>
      <c r="E737" s="9">
        <v>1.0920000000000001</v>
      </c>
      <c r="F737" s="11" t="s">
        <v>5</v>
      </c>
      <c r="G737" s="16" t="s">
        <v>39</v>
      </c>
    </row>
    <row r="738" spans="1:7" x14ac:dyDescent="0.2">
      <c r="A738" s="7">
        <v>44920</v>
      </c>
      <c r="B738" s="14" t="str" cm="1">
        <f t="array" ref="B738">_xlfn.IFS(G738="Electronics","P001", G738="MRO","P002", G738="Office Supplies","P003", G738="Packaging","P004", G738="Raw Materials","P005")</f>
        <v>P004</v>
      </c>
      <c r="C738" s="8">
        <v>1942</v>
      </c>
      <c r="D738" s="8">
        <v>81.31</v>
      </c>
      <c r="E738" s="9">
        <v>1.032</v>
      </c>
      <c r="F738" s="8" t="s">
        <v>5</v>
      </c>
      <c r="G738" s="15" t="s">
        <v>37</v>
      </c>
    </row>
    <row r="739" spans="1:7" x14ac:dyDescent="0.2">
      <c r="A739" s="10">
        <v>44791</v>
      </c>
      <c r="B739" s="13" t="str" cm="1">
        <f t="array" ref="B739">_xlfn.IFS(G739="Electronics","P001", G739="MRO","P002", G739="Office Supplies","P003", G739="Packaging","P004", G739="Raw Materials","P005")</f>
        <v>P003</v>
      </c>
      <c r="C739" s="11">
        <v>506</v>
      </c>
      <c r="D739" s="11">
        <v>72.69</v>
      </c>
      <c r="E739" s="9">
        <v>0.96899999999999997</v>
      </c>
      <c r="F739" s="11" t="s">
        <v>5</v>
      </c>
      <c r="G739" s="16" t="s">
        <v>35</v>
      </c>
    </row>
    <row r="740" spans="1:7" x14ac:dyDescent="0.2">
      <c r="A740" s="7">
        <v>45227</v>
      </c>
      <c r="B740" s="14" t="str" cm="1">
        <f t="array" ref="B740">_xlfn.IFS(G740="Electronics","P001", G740="MRO","P002", G740="Office Supplies","P003", G740="Packaging","P004", G740="Raw Materials","P005")</f>
        <v>P002</v>
      </c>
      <c r="C740" s="8">
        <v>969</v>
      </c>
      <c r="D740" s="8">
        <v>75.64</v>
      </c>
      <c r="E740" s="9">
        <v>0.94299999999999995</v>
      </c>
      <c r="F740" s="8" t="s">
        <v>5</v>
      </c>
      <c r="G740" s="15" t="s">
        <v>36</v>
      </c>
    </row>
    <row r="741" spans="1:7" x14ac:dyDescent="0.2">
      <c r="A741" s="10">
        <v>44632</v>
      </c>
      <c r="B741" s="13" t="str" cm="1">
        <f t="array" ref="B741">_xlfn.IFS(G741="Electronics","P001", G741="MRO","P002", G741="Office Supplies","P003", G741="Packaging","P004", G741="Raw Materials","P005")</f>
        <v>P002</v>
      </c>
      <c r="C741" s="11">
        <v>241</v>
      </c>
      <c r="D741" s="11">
        <v>82.15</v>
      </c>
      <c r="E741" s="9">
        <v>1.115</v>
      </c>
      <c r="F741" s="11" t="s">
        <v>5</v>
      </c>
      <c r="G741" s="16" t="s">
        <v>36</v>
      </c>
    </row>
    <row r="742" spans="1:7" x14ac:dyDescent="0.2">
      <c r="A742" s="7">
        <v>45229</v>
      </c>
      <c r="B742" s="13" t="str" cm="1">
        <f t="array" ref="B742">_xlfn.IFS(G742="Electronics","P001", G742="MRO","P002", G742="Office Supplies","P003", G742="Packaging","P004", G742="Raw Materials","P005")</f>
        <v>P005</v>
      </c>
      <c r="C742" s="8">
        <v>788</v>
      </c>
      <c r="D742" s="8">
        <v>94.44</v>
      </c>
      <c r="E742" s="9">
        <v>0.94299999999999995</v>
      </c>
      <c r="F742" s="8" t="s">
        <v>5</v>
      </c>
      <c r="G742" s="15" t="s">
        <v>38</v>
      </c>
    </row>
    <row r="743" spans="1:7" x14ac:dyDescent="0.2">
      <c r="A743" s="10">
        <v>44603</v>
      </c>
      <c r="B743" s="14" t="str" cm="1">
        <f t="array" ref="B743">_xlfn.IFS(G743="Electronics","P001", G743="MRO","P002", G743="Office Supplies","P003", G743="Packaging","P004", G743="Raw Materials","P005")</f>
        <v>P003</v>
      </c>
      <c r="C743" s="11">
        <v>1762</v>
      </c>
      <c r="D743" s="11">
        <v>65.709999999999994</v>
      </c>
      <c r="E743" s="9">
        <v>1.0920000000000001</v>
      </c>
      <c r="F743" s="11" t="s">
        <v>5</v>
      </c>
      <c r="G743" s="16" t="s">
        <v>35</v>
      </c>
    </row>
    <row r="744" spans="1:7" x14ac:dyDescent="0.2">
      <c r="A744" s="7">
        <v>44593</v>
      </c>
      <c r="B744" s="13" t="str" cm="1">
        <f t="array" ref="B744">_xlfn.IFS(G744="Electronics","P001", G744="MRO","P002", G744="Office Supplies","P003", G744="Packaging","P004", G744="Raw Materials","P005")</f>
        <v>P005</v>
      </c>
      <c r="C744" s="8">
        <v>1172</v>
      </c>
      <c r="D744" s="8">
        <v>81.430000000000007</v>
      </c>
      <c r="E744" s="9">
        <v>1.0920000000000001</v>
      </c>
      <c r="F744" s="8" t="s">
        <v>5</v>
      </c>
      <c r="G744" s="15" t="s">
        <v>38</v>
      </c>
    </row>
    <row r="745" spans="1:7" x14ac:dyDescent="0.2">
      <c r="A745" s="10">
        <v>44815</v>
      </c>
      <c r="B745" s="14" t="str" cm="1">
        <f t="array" ref="B745">_xlfn.IFS(G745="Electronics","P001", G745="MRO","P002", G745="Office Supplies","P003", G745="Packaging","P004", G745="Raw Materials","P005")</f>
        <v>P003</v>
      </c>
      <c r="C745" s="11">
        <v>1621</v>
      </c>
      <c r="D745" s="11">
        <v>73.78</v>
      </c>
      <c r="E745" s="9">
        <v>0.98099999999999998</v>
      </c>
      <c r="F745" s="11" t="s">
        <v>6</v>
      </c>
      <c r="G745" s="16" t="s">
        <v>35</v>
      </c>
    </row>
    <row r="746" spans="1:7" x14ac:dyDescent="0.2">
      <c r="A746" s="7">
        <v>44766</v>
      </c>
      <c r="B746" s="13" t="str" cm="1">
        <f t="array" ref="B746">_xlfn.IFS(G746="Electronics","P001", G746="MRO","P002", G746="Office Supplies","P003", G746="Packaging","P004", G746="Raw Materials","P005")</f>
        <v>P004</v>
      </c>
      <c r="C746" s="8">
        <v>1027</v>
      </c>
      <c r="D746" s="8">
        <v>65.42</v>
      </c>
      <c r="E746" s="9">
        <v>0.99199999999999999</v>
      </c>
      <c r="F746" s="8" t="s">
        <v>6</v>
      </c>
      <c r="G746" s="15" t="s">
        <v>37</v>
      </c>
    </row>
    <row r="747" spans="1:7" x14ac:dyDescent="0.2">
      <c r="A747" s="10">
        <v>44582</v>
      </c>
      <c r="B747" s="13" t="str" cm="1">
        <f t="array" ref="B747">_xlfn.IFS(G747="Electronics","P001", G747="MRO","P002", G747="Office Supplies","P003", G747="Packaging","P004", G747="Raw Materials","P005")</f>
        <v>P005</v>
      </c>
      <c r="C747" s="11">
        <v>1058</v>
      </c>
      <c r="D747" s="11">
        <v>57.21</v>
      </c>
      <c r="E747" s="9">
        <v>0.999</v>
      </c>
      <c r="F747" s="11" t="s">
        <v>5</v>
      </c>
      <c r="G747" s="16" t="s">
        <v>38</v>
      </c>
    </row>
    <row r="748" spans="1:7" x14ac:dyDescent="0.2">
      <c r="A748" s="7">
        <v>45198</v>
      </c>
      <c r="B748" s="14" t="str" cm="1">
        <f t="array" ref="B748">_xlfn.IFS(G748="Electronics","P001", G748="MRO","P002", G748="Office Supplies","P003", G748="Packaging","P004", G748="Raw Materials","P005")</f>
        <v>P004</v>
      </c>
      <c r="C748" s="8">
        <v>145</v>
      </c>
      <c r="D748" s="8">
        <v>81.86</v>
      </c>
      <c r="E748" s="9">
        <v>0.98099999999999998</v>
      </c>
      <c r="F748" s="8" t="s">
        <v>6</v>
      </c>
      <c r="G748" s="15" t="s">
        <v>37</v>
      </c>
    </row>
    <row r="749" spans="1:7" x14ac:dyDescent="0.2">
      <c r="A749" s="10">
        <v>44718</v>
      </c>
      <c r="B749" s="13" t="str" cm="1">
        <f t="array" ref="B749">_xlfn.IFS(G749="Electronics","P001", G749="MRO","P002", G749="Office Supplies","P003", G749="Packaging","P004", G749="Raw Materials","P005")</f>
        <v>P003</v>
      </c>
      <c r="C749" s="11">
        <v>1737</v>
      </c>
      <c r="D749" s="11">
        <v>24.28</v>
      </c>
      <c r="E749" s="9">
        <v>0.89100000000000001</v>
      </c>
      <c r="F749" s="11" t="s">
        <v>5</v>
      </c>
      <c r="G749" s="16" t="s">
        <v>35</v>
      </c>
    </row>
    <row r="750" spans="1:7" x14ac:dyDescent="0.2">
      <c r="A750" s="7">
        <v>44806</v>
      </c>
      <c r="B750" s="14" t="str" cm="1">
        <f t="array" ref="B750">_xlfn.IFS(G750="Electronics","P001", G750="MRO","P002", G750="Office Supplies","P003", G750="Packaging","P004", G750="Raw Materials","P005")</f>
        <v>P001</v>
      </c>
      <c r="C750" s="8">
        <v>712</v>
      </c>
      <c r="D750" s="8">
        <v>89.39</v>
      </c>
      <c r="E750" s="9">
        <v>0.98099999999999998</v>
      </c>
      <c r="F750" s="8" t="s">
        <v>5</v>
      </c>
      <c r="G750" s="15" t="s">
        <v>39</v>
      </c>
    </row>
    <row r="751" spans="1:7" x14ac:dyDescent="0.2">
      <c r="A751" s="10">
        <v>44691</v>
      </c>
      <c r="B751" s="13" t="str" cm="1">
        <f t="array" ref="B751">_xlfn.IFS(G751="Electronics","P001", G751="MRO","P002", G751="Office Supplies","P003", G751="Packaging","P004", G751="Raw Materials","P005")</f>
        <v>P001</v>
      </c>
      <c r="C751" s="11">
        <v>1263</v>
      </c>
      <c r="D751" s="11">
        <v>86.84</v>
      </c>
      <c r="E751" s="9">
        <v>0.98799999999999999</v>
      </c>
      <c r="F751" s="11" t="s">
        <v>5</v>
      </c>
      <c r="G751" s="16" t="s">
        <v>39</v>
      </c>
    </row>
    <row r="752" spans="1:7" x14ac:dyDescent="0.2">
      <c r="A752" s="7">
        <v>45046</v>
      </c>
      <c r="B752" s="13" t="str" cm="1">
        <f t="array" ref="B752">_xlfn.IFS(G752="Electronics","P001", G752="MRO","P002", G752="Office Supplies","P003", G752="Packaging","P004", G752="Raw Materials","P005")</f>
        <v>P001</v>
      </c>
      <c r="C752" s="8">
        <v>1809</v>
      </c>
      <c r="D752" s="8">
        <v>12.68</v>
      </c>
      <c r="E752" s="9">
        <v>1.032</v>
      </c>
      <c r="F752" s="8" t="s">
        <v>6</v>
      </c>
      <c r="G752" s="15" t="s">
        <v>39</v>
      </c>
    </row>
    <row r="753" spans="1:7" x14ac:dyDescent="0.2">
      <c r="A753" s="10">
        <v>45247</v>
      </c>
      <c r="B753" s="14" t="str" cm="1">
        <f t="array" ref="B753">_xlfn.IFS(G753="Electronics","P001", G753="MRO","P002", G753="Office Supplies","P003", G753="Packaging","P004", G753="Raw Materials","P005")</f>
        <v>P001</v>
      </c>
      <c r="C753" s="11">
        <v>86</v>
      </c>
      <c r="D753" s="11">
        <v>88.22</v>
      </c>
      <c r="E753" s="9">
        <v>0.95299999999999996</v>
      </c>
      <c r="F753" s="11" t="s">
        <v>5</v>
      </c>
      <c r="G753" s="16" t="s">
        <v>39</v>
      </c>
    </row>
    <row r="754" spans="1:7" x14ac:dyDescent="0.2">
      <c r="A754" s="7">
        <v>44679</v>
      </c>
      <c r="B754" s="13" t="str" cm="1">
        <f t="array" ref="B754">_xlfn.IFS(G754="Electronics","P001", G754="MRO","P002", G754="Office Supplies","P003", G754="Packaging","P004", G754="Raw Materials","P005")</f>
        <v>P002</v>
      </c>
      <c r="C754" s="8">
        <v>1853</v>
      </c>
      <c r="D754" s="8">
        <v>20.72</v>
      </c>
      <c r="E754" s="9">
        <v>1.032</v>
      </c>
      <c r="F754" s="8" t="s">
        <v>5</v>
      </c>
      <c r="G754" s="15" t="s">
        <v>36</v>
      </c>
    </row>
    <row r="755" spans="1:7" x14ac:dyDescent="0.2">
      <c r="A755" s="10">
        <v>45139</v>
      </c>
      <c r="B755" s="14" t="str" cm="1">
        <f t="array" ref="B755">_xlfn.IFS(G755="Electronics","P001", G755="MRO","P002", G755="Office Supplies","P003", G755="Packaging","P004", G755="Raw Materials","P005")</f>
        <v>P001</v>
      </c>
      <c r="C755" s="11">
        <v>1442</v>
      </c>
      <c r="D755" s="11">
        <v>41.82</v>
      </c>
      <c r="E755" s="9">
        <v>0.96899999999999997</v>
      </c>
      <c r="F755" s="11" t="s">
        <v>6</v>
      </c>
      <c r="G755" s="16" t="s">
        <v>39</v>
      </c>
    </row>
    <row r="756" spans="1:7" x14ac:dyDescent="0.2">
      <c r="A756" s="7">
        <v>44785</v>
      </c>
      <c r="B756" s="13" t="str" cm="1">
        <f t="array" ref="B756">_xlfn.IFS(G756="Electronics","P001", G756="MRO","P002", G756="Office Supplies","P003", G756="Packaging","P004", G756="Raw Materials","P005")</f>
        <v>P003</v>
      </c>
      <c r="C756" s="8">
        <v>1768</v>
      </c>
      <c r="D756" s="8">
        <v>74.97</v>
      </c>
      <c r="E756" s="9">
        <v>0.96899999999999997</v>
      </c>
      <c r="F756" s="8" t="s">
        <v>6</v>
      </c>
      <c r="G756" s="15" t="s">
        <v>35</v>
      </c>
    </row>
    <row r="757" spans="1:7" x14ac:dyDescent="0.2">
      <c r="A757" s="10">
        <v>45038</v>
      </c>
      <c r="B757" s="13" t="str" cm="1">
        <f t="array" ref="B757">_xlfn.IFS(G757="Electronics","P001", G757="MRO","P002", G757="Office Supplies","P003", G757="Packaging","P004", G757="Raw Materials","P005")</f>
        <v>P001</v>
      </c>
      <c r="C757" s="11">
        <v>1598</v>
      </c>
      <c r="D757" s="11">
        <v>26.03</v>
      </c>
      <c r="E757" s="9">
        <v>1.032</v>
      </c>
      <c r="F757" s="11" t="s">
        <v>6</v>
      </c>
      <c r="G757" s="16" t="s">
        <v>39</v>
      </c>
    </row>
    <row r="758" spans="1:7" x14ac:dyDescent="0.2">
      <c r="A758" s="7">
        <v>45278</v>
      </c>
      <c r="B758" s="14" t="str" cm="1">
        <f t="array" ref="B758">_xlfn.IFS(G758="Electronics","P001", G758="MRO","P002", G758="Office Supplies","P003", G758="Packaging","P004", G758="Raw Materials","P005")</f>
        <v>P002</v>
      </c>
      <c r="C758" s="8">
        <v>328</v>
      </c>
      <c r="D758" s="8">
        <v>82.63</v>
      </c>
      <c r="E758" s="9">
        <v>1.032</v>
      </c>
      <c r="F758" s="8" t="s">
        <v>5</v>
      </c>
      <c r="G758" s="15" t="s">
        <v>36</v>
      </c>
    </row>
    <row r="759" spans="1:7" x14ac:dyDescent="0.2">
      <c r="A759" s="10">
        <v>44824</v>
      </c>
      <c r="B759" s="13" t="str" cm="1">
        <f t="array" ref="B759">_xlfn.IFS(G759="Electronics","P001", G759="MRO","P002", G759="Office Supplies","P003", G759="Packaging","P004", G759="Raw Materials","P005")</f>
        <v>P004</v>
      </c>
      <c r="C759" s="11">
        <v>266</v>
      </c>
      <c r="D759" s="11">
        <v>80.22</v>
      </c>
      <c r="E759" s="9">
        <v>0.98099999999999998</v>
      </c>
      <c r="F759" s="11" t="s">
        <v>5</v>
      </c>
      <c r="G759" s="16" t="s">
        <v>37</v>
      </c>
    </row>
    <row r="760" spans="1:7" x14ac:dyDescent="0.2">
      <c r="A760" s="7">
        <v>44939</v>
      </c>
      <c r="B760" s="14" t="str" cm="1">
        <f t="array" ref="B760">_xlfn.IFS(G760="Electronics","P001", G760="MRO","P002", G760="Office Supplies","P003", G760="Packaging","P004", G760="Raw Materials","P005")</f>
        <v>P005</v>
      </c>
      <c r="C760" s="8">
        <v>916</v>
      </c>
      <c r="D760" s="8">
        <v>53.37</v>
      </c>
      <c r="E760" s="9">
        <v>0.999</v>
      </c>
      <c r="F760" s="8" t="s">
        <v>5</v>
      </c>
      <c r="G760" s="15" t="s">
        <v>38</v>
      </c>
    </row>
    <row r="761" spans="1:7" x14ac:dyDescent="0.2">
      <c r="A761" s="10">
        <v>44733</v>
      </c>
      <c r="B761" s="13" t="str" cm="1">
        <f t="array" ref="B761">_xlfn.IFS(G761="Electronics","P001", G761="MRO","P002", G761="Office Supplies","P003", G761="Packaging","P004", G761="Raw Materials","P005")</f>
        <v>P004</v>
      </c>
      <c r="C761" s="11">
        <v>922</v>
      </c>
      <c r="D761" s="11">
        <v>9.27</v>
      </c>
      <c r="E761" s="9">
        <v>0.89100000000000001</v>
      </c>
      <c r="F761" s="11" t="s">
        <v>5</v>
      </c>
      <c r="G761" s="16" t="s">
        <v>37</v>
      </c>
    </row>
    <row r="762" spans="1:7" x14ac:dyDescent="0.2">
      <c r="A762" s="7">
        <v>45182</v>
      </c>
      <c r="B762" s="13" t="str" cm="1">
        <f t="array" ref="B762">_xlfn.IFS(G762="Electronics","P001", G762="MRO","P002", G762="Office Supplies","P003", G762="Packaging","P004", G762="Raw Materials","P005")</f>
        <v>P004</v>
      </c>
      <c r="C762" s="8">
        <v>1871</v>
      </c>
      <c r="D762" s="8">
        <v>37.409999999999997</v>
      </c>
      <c r="E762" s="9">
        <v>0.98099999999999998</v>
      </c>
      <c r="F762" s="8" t="s">
        <v>6</v>
      </c>
      <c r="G762" s="15" t="s">
        <v>37</v>
      </c>
    </row>
    <row r="763" spans="1:7" x14ac:dyDescent="0.2">
      <c r="A763" s="10">
        <v>45183</v>
      </c>
      <c r="B763" s="14" t="str" cm="1">
        <f t="array" ref="B763">_xlfn.IFS(G763="Electronics","P001", G763="MRO","P002", G763="Office Supplies","P003", G763="Packaging","P004", G763="Raw Materials","P005")</f>
        <v>P005</v>
      </c>
      <c r="C763" s="11">
        <v>1346</v>
      </c>
      <c r="D763" s="11">
        <v>67.040000000000006</v>
      </c>
      <c r="E763" s="9">
        <v>0.98099999999999998</v>
      </c>
      <c r="F763" s="11" t="s">
        <v>5</v>
      </c>
      <c r="G763" s="16" t="s">
        <v>38</v>
      </c>
    </row>
    <row r="764" spans="1:7" x14ac:dyDescent="0.2">
      <c r="A764" s="7">
        <v>44679</v>
      </c>
      <c r="B764" s="13" t="str" cm="1">
        <f t="array" ref="B764">_xlfn.IFS(G764="Electronics","P001", G764="MRO","P002", G764="Office Supplies","P003", G764="Packaging","P004", G764="Raw Materials","P005")</f>
        <v>P001</v>
      </c>
      <c r="C764" s="8">
        <v>1954</v>
      </c>
      <c r="D764" s="8">
        <v>87.47</v>
      </c>
      <c r="E764" s="9">
        <v>1.032</v>
      </c>
      <c r="F764" s="8" t="s">
        <v>5</v>
      </c>
      <c r="G764" s="15" t="s">
        <v>39</v>
      </c>
    </row>
    <row r="765" spans="1:7" x14ac:dyDescent="0.2">
      <c r="A765" s="10">
        <v>44729</v>
      </c>
      <c r="B765" s="14" t="str" cm="1">
        <f t="array" ref="B765">_xlfn.IFS(G765="Electronics","P001", G765="MRO","P002", G765="Office Supplies","P003", G765="Packaging","P004", G765="Raw Materials","P005")</f>
        <v>P001</v>
      </c>
      <c r="C765" s="11">
        <v>111</v>
      </c>
      <c r="D765" s="11">
        <v>65.22</v>
      </c>
      <c r="E765" s="9">
        <v>0.89100000000000001</v>
      </c>
      <c r="F765" s="11" t="s">
        <v>5</v>
      </c>
      <c r="G765" s="16" t="s">
        <v>39</v>
      </c>
    </row>
    <row r="766" spans="1:7" x14ac:dyDescent="0.2">
      <c r="A766" s="7">
        <v>44880</v>
      </c>
      <c r="B766" s="13" t="str" cm="1">
        <f t="array" ref="B766">_xlfn.IFS(G766="Electronics","P001", G766="MRO","P002", G766="Office Supplies","P003", G766="Packaging","P004", G766="Raw Materials","P005")</f>
        <v>P003</v>
      </c>
      <c r="C766" s="8">
        <v>645</v>
      </c>
      <c r="D766" s="8">
        <v>30.88</v>
      </c>
      <c r="E766" s="9">
        <v>0.95299999999999996</v>
      </c>
      <c r="F766" s="8" t="s">
        <v>5</v>
      </c>
      <c r="G766" s="15" t="s">
        <v>35</v>
      </c>
    </row>
    <row r="767" spans="1:7" x14ac:dyDescent="0.2">
      <c r="A767" s="10">
        <v>44672</v>
      </c>
      <c r="B767" s="13" t="str" cm="1">
        <f t="array" ref="B767">_xlfn.IFS(G767="Electronics","P001", G767="MRO","P002", G767="Office Supplies","P003", G767="Packaging","P004", G767="Raw Materials","P005")</f>
        <v>P001</v>
      </c>
      <c r="C767" s="11">
        <v>1953</v>
      </c>
      <c r="D767" s="11">
        <v>62.95</v>
      </c>
      <c r="E767" s="9">
        <v>1.032</v>
      </c>
      <c r="F767" s="11" t="s">
        <v>5</v>
      </c>
      <c r="G767" s="16" t="s">
        <v>39</v>
      </c>
    </row>
    <row r="768" spans="1:7" x14ac:dyDescent="0.2">
      <c r="A768" s="7">
        <v>45154</v>
      </c>
      <c r="B768" s="14" t="str" cm="1">
        <f t="array" ref="B768">_xlfn.IFS(G768="Electronics","P001", G768="MRO","P002", G768="Office Supplies","P003", G768="Packaging","P004", G768="Raw Materials","P005")</f>
        <v>P001</v>
      </c>
      <c r="C768" s="8">
        <v>778</v>
      </c>
      <c r="D768" s="8">
        <v>61.6</v>
      </c>
      <c r="E768" s="9">
        <v>0.96899999999999997</v>
      </c>
      <c r="F768" s="8" t="s">
        <v>5</v>
      </c>
      <c r="G768" s="15" t="s">
        <v>39</v>
      </c>
    </row>
    <row r="769" spans="1:7" x14ac:dyDescent="0.2">
      <c r="A769" s="10">
        <v>44588</v>
      </c>
      <c r="B769" s="13" t="str" cm="1">
        <f t="array" ref="B769">_xlfn.IFS(G769="Electronics","P001", G769="MRO","P002", G769="Office Supplies","P003", G769="Packaging","P004", G769="Raw Materials","P005")</f>
        <v>P003</v>
      </c>
      <c r="C769" s="11">
        <v>1415</v>
      </c>
      <c r="D769" s="11">
        <v>78.34</v>
      </c>
      <c r="E769" s="9">
        <v>0.999</v>
      </c>
      <c r="F769" s="11" t="s">
        <v>5</v>
      </c>
      <c r="G769" s="16" t="s">
        <v>35</v>
      </c>
    </row>
    <row r="770" spans="1:7" x14ac:dyDescent="0.2">
      <c r="A770" s="7">
        <v>44881</v>
      </c>
      <c r="B770" s="14" t="str" cm="1">
        <f t="array" ref="B770">_xlfn.IFS(G770="Electronics","P001", G770="MRO","P002", G770="Office Supplies","P003", G770="Packaging","P004", G770="Raw Materials","P005")</f>
        <v>P005</v>
      </c>
      <c r="C770" s="8">
        <v>446</v>
      </c>
      <c r="D770" s="8">
        <v>19.46</v>
      </c>
      <c r="E770" s="9">
        <v>0.95299999999999996</v>
      </c>
      <c r="F770" s="8" t="s">
        <v>5</v>
      </c>
      <c r="G770" s="15" t="s">
        <v>38</v>
      </c>
    </row>
    <row r="771" spans="1:7" x14ac:dyDescent="0.2">
      <c r="A771" s="10">
        <v>45151</v>
      </c>
      <c r="B771" s="13" t="str" cm="1">
        <f t="array" ref="B771">_xlfn.IFS(G771="Electronics","P001", G771="MRO","P002", G771="Office Supplies","P003", G771="Packaging","P004", G771="Raw Materials","P005")</f>
        <v>P003</v>
      </c>
      <c r="C771" s="11">
        <v>748</v>
      </c>
      <c r="D771" s="11">
        <v>79.16</v>
      </c>
      <c r="E771" s="9">
        <v>0.96899999999999997</v>
      </c>
      <c r="F771" s="11" t="s">
        <v>5</v>
      </c>
      <c r="G771" s="16" t="s">
        <v>35</v>
      </c>
    </row>
    <row r="772" spans="1:7" x14ac:dyDescent="0.2">
      <c r="A772" s="7">
        <v>45255</v>
      </c>
      <c r="B772" s="13" t="str" cm="1">
        <f t="array" ref="B772">_xlfn.IFS(G772="Electronics","P001", G772="MRO","P002", G772="Office Supplies","P003", G772="Packaging","P004", G772="Raw Materials","P005")</f>
        <v>P001</v>
      </c>
      <c r="C772" s="8">
        <v>1092</v>
      </c>
      <c r="D772" s="8">
        <v>63.11</v>
      </c>
      <c r="E772" s="9">
        <v>0.95299999999999996</v>
      </c>
      <c r="F772" s="8" t="s">
        <v>5</v>
      </c>
      <c r="G772" s="15" t="s">
        <v>39</v>
      </c>
    </row>
    <row r="773" spans="1:7" x14ac:dyDescent="0.2">
      <c r="A773" s="10">
        <v>44946</v>
      </c>
      <c r="B773" s="14" t="str" cm="1">
        <f t="array" ref="B773">_xlfn.IFS(G773="Electronics","P001", G773="MRO","P002", G773="Office Supplies","P003", G773="Packaging","P004", G773="Raw Materials","P005")</f>
        <v>P001</v>
      </c>
      <c r="C773" s="11">
        <v>226</v>
      </c>
      <c r="D773" s="11">
        <v>99.16</v>
      </c>
      <c r="E773" s="9">
        <v>0.999</v>
      </c>
      <c r="F773" s="11" t="s">
        <v>5</v>
      </c>
      <c r="G773" s="16" t="s">
        <v>39</v>
      </c>
    </row>
    <row r="774" spans="1:7" x14ac:dyDescent="0.2">
      <c r="A774" s="7">
        <v>44968</v>
      </c>
      <c r="B774" s="13" t="str" cm="1">
        <f t="array" ref="B774">_xlfn.IFS(G774="Electronics","P001", G774="MRO","P002", G774="Office Supplies","P003", G774="Packaging","P004", G774="Raw Materials","P005")</f>
        <v>P001</v>
      </c>
      <c r="C774" s="8">
        <v>1685</v>
      </c>
      <c r="D774" s="8">
        <v>42.24</v>
      </c>
      <c r="E774" s="9">
        <v>1.0920000000000001</v>
      </c>
      <c r="F774" s="8" t="s">
        <v>5</v>
      </c>
      <c r="G774" s="15" t="s">
        <v>39</v>
      </c>
    </row>
    <row r="775" spans="1:7" x14ac:dyDescent="0.2">
      <c r="A775" s="10">
        <v>44765</v>
      </c>
      <c r="B775" s="14" t="str" cm="1">
        <f t="array" ref="B775">_xlfn.IFS(G775="Electronics","P001", G775="MRO","P002", G775="Office Supplies","P003", G775="Packaging","P004", G775="Raw Materials","P005")</f>
        <v>P003</v>
      </c>
      <c r="C775" s="11">
        <v>445</v>
      </c>
      <c r="D775" s="11">
        <v>60.35</v>
      </c>
      <c r="E775" s="9">
        <v>0.99199999999999999</v>
      </c>
      <c r="F775" s="11" t="s">
        <v>5</v>
      </c>
      <c r="G775" s="16" t="s">
        <v>35</v>
      </c>
    </row>
    <row r="776" spans="1:7" x14ac:dyDescent="0.2">
      <c r="A776" s="7">
        <v>44639</v>
      </c>
      <c r="B776" s="13" t="str" cm="1">
        <f t="array" ref="B776">_xlfn.IFS(G776="Electronics","P001", G776="MRO","P002", G776="Office Supplies","P003", G776="Packaging","P004", G776="Raw Materials","P005")</f>
        <v>P005</v>
      </c>
      <c r="C776" s="8">
        <v>494</v>
      </c>
      <c r="D776" s="8">
        <v>81.89</v>
      </c>
      <c r="E776" s="9">
        <v>1.115</v>
      </c>
      <c r="F776" s="8" t="s">
        <v>5</v>
      </c>
      <c r="G776" s="15" t="s">
        <v>38</v>
      </c>
    </row>
    <row r="777" spans="1:7" x14ac:dyDescent="0.2">
      <c r="A777" s="10">
        <v>45168</v>
      </c>
      <c r="B777" s="13" t="str" cm="1">
        <f t="array" ref="B777">_xlfn.IFS(G777="Electronics","P001", G777="MRO","P002", G777="Office Supplies","P003", G777="Packaging","P004", G777="Raw Materials","P005")</f>
        <v>P002</v>
      </c>
      <c r="C777" s="11">
        <v>1306</v>
      </c>
      <c r="D777" s="11">
        <v>18.27</v>
      </c>
      <c r="E777" s="9">
        <v>0.96899999999999997</v>
      </c>
      <c r="F777" s="11" t="s">
        <v>5</v>
      </c>
      <c r="G777" s="16" t="s">
        <v>36</v>
      </c>
    </row>
    <row r="778" spans="1:7" x14ac:dyDescent="0.2">
      <c r="A778" s="7">
        <v>45269</v>
      </c>
      <c r="B778" s="14" t="str" cm="1">
        <f t="array" ref="B778">_xlfn.IFS(G778="Electronics","P001", G778="MRO","P002", G778="Office Supplies","P003", G778="Packaging","P004", G778="Raw Materials","P005")</f>
        <v>P003</v>
      </c>
      <c r="C778" s="8">
        <v>1988</v>
      </c>
      <c r="D778" s="8">
        <v>93.23</v>
      </c>
      <c r="E778" s="9">
        <v>1.032</v>
      </c>
      <c r="F778" s="8" t="s">
        <v>5</v>
      </c>
      <c r="G778" s="17" t="s">
        <v>35</v>
      </c>
    </row>
  </sheetData>
  <phoneticPr fontId="10" type="noConversion"/>
  <pageMargins left="0.7" right="0.7" top="0.75" bottom="0.75" header="0.3" footer="0.3"/>
  <legacy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workbookViewId="0">
      <selection activeCell="B24" sqref="B24"/>
    </sheetView>
  </sheetViews>
  <sheetFormatPr baseColWidth="10" defaultColWidth="8.83203125" defaultRowHeight="16" x14ac:dyDescent="0.2"/>
  <cols>
    <col min="1" max="1" width="30" customWidth="1"/>
    <col min="2" max="2" width="55" customWidth="1"/>
    <col min="3" max="3" width="12" customWidth="1"/>
    <col min="4" max="4" width="16" customWidth="1"/>
  </cols>
  <sheetData>
    <row r="1" spans="1:6" ht="17" x14ac:dyDescent="0.2">
      <c r="A1" s="20" t="s">
        <v>7</v>
      </c>
      <c r="B1" s="19"/>
      <c r="C1" s="19"/>
      <c r="D1" s="19"/>
    </row>
    <row r="3" spans="1:6" ht="30" customHeight="1" x14ac:dyDescent="0.2">
      <c r="A3" s="18" t="s">
        <v>8</v>
      </c>
      <c r="B3" s="19"/>
      <c r="C3" s="19"/>
      <c r="D3" s="19"/>
      <c r="E3" s="19"/>
      <c r="F3" s="19"/>
    </row>
    <row r="5" spans="1:6" x14ac:dyDescent="0.2">
      <c r="A5" s="2" t="s">
        <v>9</v>
      </c>
      <c r="B5" t="s">
        <v>10</v>
      </c>
    </row>
    <row r="6" spans="1:6" x14ac:dyDescent="0.2">
      <c r="A6" s="2" t="s">
        <v>11</v>
      </c>
      <c r="B6" t="s">
        <v>12</v>
      </c>
    </row>
    <row r="7" spans="1:6" x14ac:dyDescent="0.2">
      <c r="A7" s="2" t="s">
        <v>13</v>
      </c>
      <c r="B7" t="s">
        <v>14</v>
      </c>
    </row>
    <row r="8" spans="1:6" x14ac:dyDescent="0.2">
      <c r="A8" s="2" t="s">
        <v>15</v>
      </c>
      <c r="B8" t="s">
        <v>16</v>
      </c>
    </row>
    <row r="10" spans="1:6" x14ac:dyDescent="0.2">
      <c r="A10" s="3" t="s">
        <v>17</v>
      </c>
      <c r="B10" s="3" t="s">
        <v>18</v>
      </c>
      <c r="C10" s="3" t="s">
        <v>19</v>
      </c>
      <c r="D10" s="3" t="s">
        <v>3</v>
      </c>
    </row>
    <row r="11" spans="1:6" x14ac:dyDescent="0.2">
      <c r="A11" t="s">
        <v>20</v>
      </c>
      <c r="B11">
        <v>1093.7</v>
      </c>
      <c r="C11">
        <v>63</v>
      </c>
      <c r="D11">
        <v>0.999</v>
      </c>
    </row>
    <row r="12" spans="1:6" x14ac:dyDescent="0.2">
      <c r="A12" t="s">
        <v>21</v>
      </c>
      <c r="B12">
        <v>1195.5</v>
      </c>
      <c r="C12">
        <v>55</v>
      </c>
      <c r="D12">
        <v>1.0920000000000001</v>
      </c>
    </row>
    <row r="13" spans="1:6" x14ac:dyDescent="0.2">
      <c r="A13" t="s">
        <v>22</v>
      </c>
      <c r="B13">
        <v>1220.2</v>
      </c>
      <c r="C13">
        <v>80</v>
      </c>
      <c r="D13">
        <v>1.115</v>
      </c>
    </row>
    <row r="14" spans="1:6" x14ac:dyDescent="0.2">
      <c r="A14" t="s">
        <v>23</v>
      </c>
      <c r="B14">
        <v>1129.8</v>
      </c>
      <c r="C14">
        <v>68</v>
      </c>
      <c r="D14">
        <v>1.032</v>
      </c>
    </row>
    <row r="15" spans="1:6" x14ac:dyDescent="0.2">
      <c r="A15" t="s">
        <v>24</v>
      </c>
      <c r="B15">
        <v>1081.5</v>
      </c>
      <c r="C15">
        <v>45</v>
      </c>
      <c r="D15">
        <v>0.98799999999999999</v>
      </c>
    </row>
    <row r="16" spans="1:6" x14ac:dyDescent="0.2">
      <c r="A16" t="s">
        <v>25</v>
      </c>
      <c r="B16">
        <v>975.4</v>
      </c>
      <c r="C16">
        <v>60</v>
      </c>
      <c r="D16">
        <v>0.89100000000000001</v>
      </c>
    </row>
    <row r="17" spans="1:4" x14ac:dyDescent="0.2">
      <c r="A17" t="s">
        <v>26</v>
      </c>
      <c r="B17">
        <v>1086.2</v>
      </c>
      <c r="C17">
        <v>71</v>
      </c>
      <c r="D17">
        <v>0.99199999999999999</v>
      </c>
    </row>
    <row r="18" spans="1:4" x14ac:dyDescent="0.2">
      <c r="A18" t="s">
        <v>27</v>
      </c>
      <c r="B18">
        <v>1060.3</v>
      </c>
      <c r="C18">
        <v>74</v>
      </c>
      <c r="D18">
        <v>0.96899999999999997</v>
      </c>
    </row>
    <row r="19" spans="1:4" x14ac:dyDescent="0.2">
      <c r="A19" t="s">
        <v>28</v>
      </c>
      <c r="B19">
        <v>1074.0999999999999</v>
      </c>
      <c r="C19">
        <v>72</v>
      </c>
      <c r="D19">
        <v>0.98099999999999998</v>
      </c>
    </row>
    <row r="20" spans="1:4" x14ac:dyDescent="0.2">
      <c r="A20" t="s">
        <v>29</v>
      </c>
      <c r="B20">
        <v>1032.7</v>
      </c>
      <c r="C20">
        <v>60</v>
      </c>
      <c r="D20">
        <v>0.94299999999999995</v>
      </c>
    </row>
    <row r="21" spans="1:4" x14ac:dyDescent="0.2">
      <c r="A21" t="s">
        <v>30</v>
      </c>
      <c r="B21">
        <v>1043</v>
      </c>
      <c r="C21">
        <v>73</v>
      </c>
      <c r="D21">
        <v>0.95299999999999996</v>
      </c>
    </row>
    <row r="22" spans="1:4" x14ac:dyDescent="0.2">
      <c r="A22" t="s">
        <v>31</v>
      </c>
      <c r="B22">
        <v>1129.4000000000001</v>
      </c>
      <c r="C22">
        <v>56</v>
      </c>
      <c r="D22">
        <v>1.032</v>
      </c>
    </row>
    <row r="23" spans="1:4" x14ac:dyDescent="0.2">
      <c r="A23" s="4" t="s">
        <v>32</v>
      </c>
      <c r="D23" s="4">
        <v>1</v>
      </c>
    </row>
  </sheetData>
  <mergeCells count="2">
    <mergeCell ref="A3:F3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Seasonal Factor - Methodology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abdullahhawlather01@hotmail.com</dc:creator>
  <cp:lastModifiedBy>abdullahhawlather01@hotmail.com</cp:lastModifiedBy>
  <dcterms:created xsi:type="dcterms:W3CDTF">2026-09-22T14:16:50Z</dcterms:created>
  <dcterms:modified xsi:type="dcterms:W3CDTF">2026-09-27T08:00:34Z</dcterms:modified>
</cp:coreProperties>
</file>