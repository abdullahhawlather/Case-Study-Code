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dullahhawlather/Desktop/3.2/Case_Study/Dataset/"/>
    </mc:Choice>
  </mc:AlternateContent>
  <xr:revisionPtr revIDLastSave="0" documentId="13_ncr:1_{54B850A6-24AE-0A44-9E1C-0A8D503A991C}" xr6:coauthVersionLast="47" xr6:coauthVersionMax="47" xr10:uidLastSave="{00000000-0000-0000-0000-000000000000}"/>
  <bookViews>
    <workbookView xWindow="0" yWindow="680" windowWidth="23260" windowHeight="13180" xr2:uid="{6CA562DF-1830-4054-A11D-85F0A1E54E00}"/>
  </bookViews>
  <sheets>
    <sheet name="Sales_data" sheetId="1" r:id="rId1"/>
    <sheet name="Supplier_rating" sheetId="2" r:id="rId2"/>
    <sheet name="Produc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1" l="1" a="1"/>
  <c r="N2" i="1" s="1"/>
  <c r="A2" i="2" a="1"/>
  <c r="A2" i="2" s="1"/>
  <c r="D31" i="1"/>
  <c r="D381" i="1"/>
  <c r="D370" i="1"/>
  <c r="D349" i="1"/>
  <c r="D336" i="1"/>
  <c r="D326" i="1"/>
  <c r="D303" i="1"/>
  <c r="D291" i="1"/>
  <c r="D281" i="1"/>
  <c r="D278" i="1"/>
  <c r="D274" i="1"/>
  <c r="D272" i="1"/>
  <c r="D260" i="1"/>
  <c r="D257" i="1"/>
  <c r="D244" i="1"/>
  <c r="D241" i="1"/>
  <c r="D238" i="1"/>
  <c r="D237" i="1"/>
  <c r="D236" i="1"/>
  <c r="D230" i="1"/>
  <c r="D220" i="1"/>
  <c r="D216" i="1"/>
  <c r="D212" i="1"/>
  <c r="D208" i="1"/>
  <c r="D205" i="1"/>
  <c r="D191" i="1"/>
  <c r="D188" i="1"/>
  <c r="D186" i="1"/>
  <c r="D158" i="1"/>
  <c r="D150" i="1"/>
  <c r="D147" i="1"/>
  <c r="D118" i="1"/>
  <c r="D115" i="1"/>
  <c r="D111" i="1"/>
  <c r="D103" i="1"/>
  <c r="D100" i="1"/>
  <c r="D96" i="1"/>
  <c r="D91" i="1"/>
  <c r="D80" i="1"/>
  <c r="D47" i="1"/>
  <c r="D41" i="1"/>
  <c r="D397" i="1"/>
  <c r="D424" i="1"/>
  <c r="D427" i="1"/>
  <c r="D430" i="1"/>
  <c r="D439" i="1"/>
  <c r="D448" i="1"/>
  <c r="D463" i="1"/>
  <c r="D467" i="1"/>
  <c r="D469" i="1"/>
  <c r="D477" i="1"/>
  <c r="D485" i="1"/>
  <c r="D497" i="1"/>
  <c r="D500" i="1"/>
  <c r="D528" i="1"/>
  <c r="D535" i="1"/>
  <c r="D561" i="1"/>
  <c r="D573" i="1"/>
  <c r="D576" i="1"/>
  <c r="D579" i="1"/>
  <c r="D584" i="1"/>
  <c r="D598" i="1"/>
  <c r="D637" i="1"/>
  <c r="D649" i="1"/>
  <c r="D652" i="1"/>
  <c r="D680" i="1"/>
  <c r="D687" i="1"/>
  <c r="D690" i="1"/>
  <c r="D702" i="1"/>
  <c r="D706" i="1"/>
  <c r="D713" i="1"/>
  <c r="D725" i="1"/>
  <c r="D739" i="1"/>
  <c r="D744" i="1"/>
  <c r="D747" i="1"/>
  <c r="D749" i="1"/>
  <c r="D771" i="1"/>
  <c r="D775" i="1"/>
  <c r="M2" i="1" a="1"/>
  <c r="M2" i="1"/>
  <c r="D77" i="1"/>
  <c r="D70" i="1"/>
  <c r="D58" i="1"/>
  <c r="D51" i="1"/>
  <c r="D53" i="1"/>
  <c r="D15" i="1"/>
  <c r="D3" i="3"/>
  <c r="D4" i="3"/>
  <c r="D5" i="3"/>
  <c r="D6" i="3"/>
  <c r="D2" i="3"/>
  <c r="C3" i="3"/>
  <c r="C4" i="3"/>
  <c r="C5" i="3"/>
  <c r="C6" i="3"/>
  <c r="C2" i="3"/>
  <c r="E3" i="2"/>
  <c r="E4" i="2"/>
  <c r="E5" i="2"/>
  <c r="E6" i="2"/>
  <c r="E2" i="2"/>
  <c r="B2" i="2" a="1"/>
  <c r="B2" i="2" s="1"/>
  <c r="G2" i="2" s="1"/>
  <c r="L2" i="1"/>
  <c r="L3" i="1"/>
  <c r="M3" i="1" a="1"/>
  <c r="M3" i="1"/>
  <c r="N3" i="1" a="1"/>
  <c r="N3" i="1" s="1"/>
  <c r="L4" i="1"/>
  <c r="M4" i="1" a="1"/>
  <c r="M4" i="1"/>
  <c r="N4" i="1" a="1"/>
  <c r="N4" i="1"/>
  <c r="L5" i="1"/>
  <c r="M5" i="1" a="1"/>
  <c r="M5" i="1" s="1"/>
  <c r="N5" i="1" a="1"/>
  <c r="N5" i="1"/>
  <c r="L6" i="1"/>
  <c r="M6" i="1" a="1"/>
  <c r="M6" i="1"/>
  <c r="N6" i="1" a="1"/>
  <c r="N6" i="1" s="1"/>
  <c r="L7" i="1"/>
  <c r="M7" i="1" a="1"/>
  <c r="M7" i="1" s="1"/>
  <c r="N7" i="1" a="1"/>
  <c r="N7" i="1" s="1"/>
  <c r="L8" i="1"/>
  <c r="M8" i="1" a="1"/>
  <c r="M8" i="1" s="1"/>
  <c r="N8" i="1" a="1"/>
  <c r="N8" i="1" s="1"/>
  <c r="L9" i="1"/>
  <c r="M9" i="1" a="1"/>
  <c r="M9" i="1" s="1"/>
  <c r="N9" i="1" a="1"/>
  <c r="N9" i="1" s="1"/>
  <c r="L10" i="1"/>
  <c r="M10" i="1" a="1"/>
  <c r="M10" i="1" s="1"/>
  <c r="N10" i="1" a="1"/>
  <c r="N10" i="1"/>
  <c r="L11" i="1"/>
  <c r="M11" i="1" a="1"/>
  <c r="M11" i="1" s="1"/>
  <c r="N11" i="1" a="1"/>
  <c r="N11" i="1" s="1"/>
  <c r="L12" i="1"/>
  <c r="M12" i="1" a="1"/>
  <c r="M12" i="1"/>
  <c r="N12" i="1" a="1"/>
  <c r="N12" i="1" s="1"/>
  <c r="L13" i="1"/>
  <c r="M13" i="1" a="1"/>
  <c r="M13" i="1" s="1"/>
  <c r="N13" i="1" a="1"/>
  <c r="N13" i="1" s="1"/>
  <c r="L14" i="1"/>
  <c r="M14" i="1" a="1"/>
  <c r="M14" i="1"/>
  <c r="N14" i="1" a="1"/>
  <c r="N14" i="1" s="1"/>
  <c r="L15" i="1"/>
  <c r="M15" i="1" a="1"/>
  <c r="M15" i="1" s="1"/>
  <c r="N15" i="1" a="1"/>
  <c r="N15" i="1"/>
  <c r="L16" i="1"/>
  <c r="M16" i="1" a="1"/>
  <c r="M16" i="1" s="1"/>
  <c r="N16" i="1" a="1"/>
  <c r="N16" i="1" s="1"/>
  <c r="L17" i="1"/>
  <c r="M17" i="1" a="1"/>
  <c r="M17" i="1"/>
  <c r="N17" i="1" a="1"/>
  <c r="N17" i="1" s="1"/>
  <c r="L18" i="1"/>
  <c r="M18" i="1" a="1"/>
  <c r="M18" i="1" s="1"/>
  <c r="N18" i="1" a="1"/>
  <c r="N18" i="1" s="1"/>
  <c r="L19" i="1"/>
  <c r="M19" i="1" a="1"/>
  <c r="M19" i="1" s="1"/>
  <c r="N19" i="1" a="1"/>
  <c r="N19" i="1" s="1"/>
  <c r="L20" i="1"/>
  <c r="M20" i="1" a="1"/>
  <c r="M20" i="1" s="1"/>
  <c r="N20" i="1" a="1"/>
  <c r="N20" i="1" s="1"/>
  <c r="L21" i="1"/>
  <c r="M21" i="1" a="1"/>
  <c r="M21" i="1" s="1"/>
  <c r="N21" i="1" a="1"/>
  <c r="N21" i="1"/>
  <c r="L22" i="1"/>
  <c r="M22" i="1" a="1"/>
  <c r="M22" i="1" s="1"/>
  <c r="N22" i="1" a="1"/>
  <c r="N22" i="1" s="1"/>
  <c r="L23" i="1"/>
  <c r="M23" i="1" a="1"/>
  <c r="M23" i="1" s="1"/>
  <c r="N23" i="1" a="1"/>
  <c r="N23" i="1" s="1"/>
  <c r="L24" i="1"/>
  <c r="M24" i="1" a="1"/>
  <c r="M24" i="1" s="1"/>
  <c r="N24" i="1" a="1"/>
  <c r="N24" i="1" s="1"/>
  <c r="L25" i="1"/>
  <c r="M25" i="1" a="1"/>
  <c r="M25" i="1" s="1"/>
  <c r="N25" i="1" a="1"/>
  <c r="N25" i="1" s="1"/>
  <c r="L26" i="1"/>
  <c r="M26" i="1" a="1"/>
  <c r="M26" i="1" s="1"/>
  <c r="N26" i="1" a="1"/>
  <c r="N26" i="1" s="1"/>
  <c r="L27" i="1"/>
  <c r="M27" i="1" a="1"/>
  <c r="M27" i="1" s="1"/>
  <c r="N27" i="1" a="1"/>
  <c r="N27" i="1" s="1"/>
  <c r="L28" i="1"/>
  <c r="M28" i="1" a="1"/>
  <c r="M28" i="1" s="1"/>
  <c r="N28" i="1" a="1"/>
  <c r="N28" i="1" s="1"/>
  <c r="L29" i="1"/>
  <c r="M29" i="1" a="1"/>
  <c r="M29" i="1" s="1"/>
  <c r="N29" i="1" a="1"/>
  <c r="N29" i="1"/>
  <c r="L30" i="1"/>
  <c r="M30" i="1" a="1"/>
  <c r="M30" i="1" s="1"/>
  <c r="N30" i="1" a="1"/>
  <c r="N30" i="1" s="1"/>
  <c r="L31" i="1"/>
  <c r="M31" i="1" a="1"/>
  <c r="M31" i="1"/>
  <c r="N31" i="1" a="1"/>
  <c r="N31" i="1"/>
  <c r="L32" i="1"/>
  <c r="M32" i="1" a="1"/>
  <c r="M32" i="1" s="1"/>
  <c r="N32" i="1" a="1"/>
  <c r="N32" i="1" s="1"/>
  <c r="L33" i="1"/>
  <c r="M33" i="1" a="1"/>
  <c r="M33" i="1"/>
  <c r="N33" i="1" a="1"/>
  <c r="N33" i="1" s="1"/>
  <c r="L34" i="1"/>
  <c r="M34" i="1" a="1"/>
  <c r="M34" i="1" s="1"/>
  <c r="N34" i="1" a="1"/>
  <c r="N34" i="1" s="1"/>
  <c r="L35" i="1"/>
  <c r="M35" i="1" a="1"/>
  <c r="M35" i="1" s="1"/>
  <c r="N35" i="1" a="1"/>
  <c r="N35" i="1"/>
  <c r="L36" i="1"/>
  <c r="M36" i="1" a="1"/>
  <c r="M36" i="1" s="1"/>
  <c r="N36" i="1" a="1"/>
  <c r="N36" i="1" s="1"/>
  <c r="L37" i="1"/>
  <c r="M37" i="1" a="1"/>
  <c r="M37" i="1" s="1"/>
  <c r="N37" i="1" a="1"/>
  <c r="N37" i="1"/>
  <c r="L38" i="1"/>
  <c r="M38" i="1" a="1"/>
  <c r="M38" i="1" s="1"/>
  <c r="N38" i="1" a="1"/>
  <c r="N38" i="1" s="1"/>
  <c r="L39" i="1"/>
  <c r="M39" i="1" a="1"/>
  <c r="M39" i="1" s="1"/>
  <c r="N39" i="1" a="1"/>
  <c r="N39" i="1" s="1"/>
  <c r="L40" i="1"/>
  <c r="M40" i="1" a="1"/>
  <c r="M40" i="1" s="1"/>
  <c r="N40" i="1" a="1"/>
  <c r="N40" i="1"/>
  <c r="L41" i="1"/>
  <c r="M41" i="1" a="1"/>
  <c r="M41" i="1" s="1"/>
  <c r="N41" i="1" a="1"/>
  <c r="N41" i="1" s="1"/>
  <c r="L42" i="1"/>
  <c r="M42" i="1" a="1"/>
  <c r="M42" i="1"/>
  <c r="N42" i="1" a="1"/>
  <c r="N42" i="1" s="1"/>
  <c r="L43" i="1"/>
  <c r="M43" i="1" a="1"/>
  <c r="M43" i="1" s="1"/>
  <c r="N43" i="1" a="1"/>
  <c r="N43" i="1" s="1"/>
  <c r="L44" i="1"/>
  <c r="M44" i="1" a="1"/>
  <c r="M44" i="1"/>
  <c r="N44" i="1" a="1"/>
  <c r="N44" i="1" s="1"/>
  <c r="L45" i="1"/>
  <c r="M45" i="1" a="1"/>
  <c r="M45" i="1" s="1"/>
  <c r="N45" i="1" a="1"/>
  <c r="N45" i="1" s="1"/>
  <c r="L46" i="1"/>
  <c r="M46" i="1" a="1"/>
  <c r="M46" i="1"/>
  <c r="N46" i="1" a="1"/>
  <c r="N46" i="1"/>
  <c r="L47" i="1"/>
  <c r="M47" i="1" a="1"/>
  <c r="M47" i="1"/>
  <c r="N47" i="1" a="1"/>
  <c r="N47" i="1"/>
  <c r="L48" i="1"/>
  <c r="M48" i="1" a="1"/>
  <c r="M48" i="1" s="1"/>
  <c r="N48" i="1" a="1"/>
  <c r="N48" i="1"/>
  <c r="L49" i="1"/>
  <c r="M49" i="1" a="1"/>
  <c r="M49" i="1" s="1"/>
  <c r="N49" i="1" a="1"/>
  <c r="N49" i="1"/>
  <c r="L50" i="1"/>
  <c r="M50" i="1" a="1"/>
  <c r="M50" i="1" s="1"/>
  <c r="N50" i="1" a="1"/>
  <c r="N50" i="1" s="1"/>
  <c r="L51" i="1"/>
  <c r="M51" i="1" a="1"/>
  <c r="M51" i="1"/>
  <c r="N51" i="1" a="1"/>
  <c r="N51" i="1" s="1"/>
  <c r="L52" i="1"/>
  <c r="M52" i="1" a="1"/>
  <c r="M52" i="1" s="1"/>
  <c r="N52" i="1" a="1"/>
  <c r="N52" i="1" s="1"/>
  <c r="L53" i="1"/>
  <c r="M53" i="1" a="1"/>
  <c r="M53" i="1" s="1"/>
  <c r="N53" i="1" a="1"/>
  <c r="N53" i="1" s="1"/>
  <c r="L54" i="1"/>
  <c r="M54" i="1" a="1"/>
  <c r="M54" i="1"/>
  <c r="N54" i="1" a="1"/>
  <c r="N54" i="1" s="1"/>
  <c r="L55" i="1"/>
  <c r="M55" i="1" a="1"/>
  <c r="M55" i="1" s="1"/>
  <c r="N55" i="1" a="1"/>
  <c r="N55" i="1" s="1"/>
  <c r="L56" i="1"/>
  <c r="M56" i="1" a="1"/>
  <c r="M56" i="1"/>
  <c r="N56" i="1" a="1"/>
  <c r="N56" i="1" s="1"/>
  <c r="L57" i="1"/>
  <c r="M57" i="1" a="1"/>
  <c r="M57" i="1"/>
  <c r="N57" i="1" a="1"/>
  <c r="N57" i="1" s="1"/>
  <c r="L58" i="1"/>
  <c r="M58" i="1" a="1"/>
  <c r="M58" i="1" s="1"/>
  <c r="N58" i="1" a="1"/>
  <c r="N58" i="1" s="1"/>
  <c r="L59" i="1"/>
  <c r="M59" i="1" a="1"/>
  <c r="M59" i="1" s="1"/>
  <c r="N59" i="1" a="1"/>
  <c r="N59" i="1" s="1"/>
  <c r="L60" i="1"/>
  <c r="M60" i="1" a="1"/>
  <c r="M60" i="1"/>
  <c r="N60" i="1" a="1"/>
  <c r="N60" i="1" s="1"/>
  <c r="L61" i="1"/>
  <c r="M61" i="1" a="1"/>
  <c r="M61" i="1" s="1"/>
  <c r="N61" i="1" a="1"/>
  <c r="N61" i="1" s="1"/>
  <c r="L62" i="1"/>
  <c r="M62" i="1" a="1"/>
  <c r="M62" i="1"/>
  <c r="N62" i="1" a="1"/>
  <c r="N62" i="1" s="1"/>
  <c r="L63" i="1"/>
  <c r="M63" i="1" a="1"/>
  <c r="M63" i="1" s="1"/>
  <c r="N63" i="1" a="1"/>
  <c r="N63" i="1" s="1"/>
  <c r="L64" i="1"/>
  <c r="M64" i="1" a="1"/>
  <c r="M64" i="1" s="1"/>
  <c r="N64" i="1" a="1"/>
  <c r="N64" i="1" s="1"/>
  <c r="L65" i="1"/>
  <c r="M65" i="1" a="1"/>
  <c r="M65" i="1" s="1"/>
  <c r="N65" i="1" a="1"/>
  <c r="N65" i="1" s="1"/>
  <c r="L66" i="1"/>
  <c r="M66" i="1" a="1"/>
  <c r="M66" i="1" s="1"/>
  <c r="N66" i="1" a="1"/>
  <c r="N66" i="1"/>
  <c r="L67" i="1"/>
  <c r="M67" i="1" a="1"/>
  <c r="M67" i="1" s="1"/>
  <c r="N67" i="1" a="1"/>
  <c r="N67" i="1" s="1"/>
  <c r="L68" i="1"/>
  <c r="M68" i="1" a="1"/>
  <c r="M68" i="1" s="1"/>
  <c r="N68" i="1" a="1"/>
  <c r="N68" i="1"/>
  <c r="L69" i="1"/>
  <c r="M69" i="1" a="1"/>
  <c r="M69" i="1" s="1"/>
  <c r="N69" i="1" a="1"/>
  <c r="N69" i="1" s="1"/>
  <c r="L70" i="1"/>
  <c r="M70" i="1" a="1"/>
  <c r="M70" i="1"/>
  <c r="N70" i="1" a="1"/>
  <c r="N70" i="1" s="1"/>
  <c r="L71" i="1"/>
  <c r="M71" i="1" a="1"/>
  <c r="M71" i="1"/>
  <c r="N71" i="1" a="1"/>
  <c r="N71" i="1" s="1"/>
  <c r="L72" i="1"/>
  <c r="M72" i="1" a="1"/>
  <c r="M72" i="1" s="1"/>
  <c r="N72" i="1" a="1"/>
  <c r="N72" i="1" s="1"/>
  <c r="L73" i="1"/>
  <c r="M73" i="1" a="1"/>
  <c r="M73" i="1" s="1"/>
  <c r="N73" i="1" a="1"/>
  <c r="N73" i="1" s="1"/>
  <c r="L74" i="1"/>
  <c r="M74" i="1" a="1"/>
  <c r="M74" i="1" s="1"/>
  <c r="N74" i="1" a="1"/>
  <c r="N74" i="1" s="1"/>
  <c r="L75" i="1"/>
  <c r="M75" i="1" a="1"/>
  <c r="M75" i="1" s="1"/>
  <c r="N75" i="1" a="1"/>
  <c r="N75" i="1"/>
  <c r="L76" i="1"/>
  <c r="M76" i="1" a="1"/>
  <c r="M76" i="1" s="1"/>
  <c r="N76" i="1" a="1"/>
  <c r="N76" i="1"/>
  <c r="L77" i="1"/>
  <c r="M77" i="1" a="1"/>
  <c r="M77" i="1" s="1"/>
  <c r="N77" i="1" a="1"/>
  <c r="N77" i="1" s="1"/>
  <c r="L78" i="1"/>
  <c r="M78" i="1" a="1"/>
  <c r="M78" i="1"/>
  <c r="N78" i="1" a="1"/>
  <c r="N78" i="1"/>
  <c r="L79" i="1"/>
  <c r="M79" i="1" a="1"/>
  <c r="M79" i="1" s="1"/>
  <c r="N79" i="1" a="1"/>
  <c r="N79" i="1" s="1"/>
  <c r="L80" i="1"/>
  <c r="M80" i="1" a="1"/>
  <c r="M80" i="1" s="1"/>
  <c r="N80" i="1" a="1"/>
  <c r="N80" i="1"/>
  <c r="L81" i="1"/>
  <c r="M81" i="1" a="1"/>
  <c r="M81" i="1" s="1"/>
  <c r="N81" i="1" a="1"/>
  <c r="N81" i="1"/>
  <c r="L82" i="1"/>
  <c r="M82" i="1" a="1"/>
  <c r="M82" i="1" s="1"/>
  <c r="N82" i="1" a="1"/>
  <c r="N82" i="1" s="1"/>
  <c r="L83" i="1"/>
  <c r="M83" i="1" a="1"/>
  <c r="M83" i="1"/>
  <c r="N83" i="1" a="1"/>
  <c r="N83" i="1"/>
  <c r="L84" i="1"/>
  <c r="M84" i="1" a="1"/>
  <c r="M84" i="1" s="1"/>
  <c r="N84" i="1" a="1"/>
  <c r="N84" i="1" s="1"/>
  <c r="L85" i="1"/>
  <c r="M85" i="1" a="1"/>
  <c r="M85" i="1"/>
  <c r="N85" i="1" a="1"/>
  <c r="N85" i="1"/>
  <c r="L86" i="1"/>
  <c r="M86" i="1" a="1"/>
  <c r="M86" i="1" s="1"/>
  <c r="N86" i="1" a="1"/>
  <c r="N86" i="1" s="1"/>
  <c r="L87" i="1"/>
  <c r="M87" i="1" a="1"/>
  <c r="M87" i="1" s="1"/>
  <c r="N87" i="1" a="1"/>
  <c r="N87" i="1"/>
  <c r="L88" i="1"/>
  <c r="M88" i="1" a="1"/>
  <c r="M88" i="1" s="1"/>
  <c r="N88" i="1" a="1"/>
  <c r="N88" i="1" s="1"/>
  <c r="L89" i="1"/>
  <c r="M89" i="1" a="1"/>
  <c r="M89" i="1"/>
  <c r="N89" i="1" a="1"/>
  <c r="N89" i="1"/>
  <c r="L90" i="1"/>
  <c r="M90" i="1" a="1"/>
  <c r="M90" i="1" s="1"/>
  <c r="N90" i="1" a="1"/>
  <c r="N90" i="1" s="1"/>
  <c r="L91" i="1"/>
  <c r="M91" i="1" a="1"/>
  <c r="M91" i="1" s="1"/>
  <c r="N91" i="1" a="1"/>
  <c r="N91" i="1" s="1"/>
  <c r="L92" i="1"/>
  <c r="M92" i="1" a="1"/>
  <c r="M92" i="1" s="1"/>
  <c r="N92" i="1" a="1"/>
  <c r="N92" i="1"/>
  <c r="L93" i="1"/>
  <c r="M93" i="1" a="1"/>
  <c r="M93" i="1" s="1"/>
  <c r="N93" i="1" a="1"/>
  <c r="N93" i="1"/>
  <c r="L94" i="1"/>
  <c r="M94" i="1" a="1"/>
  <c r="M94" i="1" s="1"/>
  <c r="N94" i="1" a="1"/>
  <c r="N94" i="1" s="1"/>
  <c r="L95" i="1"/>
  <c r="M95" i="1" a="1"/>
  <c r="M95" i="1"/>
  <c r="N95" i="1" a="1"/>
  <c r="N95" i="1" s="1"/>
  <c r="L96" i="1"/>
  <c r="M96" i="1" a="1"/>
  <c r="M96" i="1" s="1"/>
  <c r="N96" i="1" a="1"/>
  <c r="N96" i="1" s="1"/>
  <c r="L97" i="1"/>
  <c r="M97" i="1" a="1"/>
  <c r="M97" i="1" s="1"/>
  <c r="N97" i="1" a="1"/>
  <c r="N97" i="1" s="1"/>
  <c r="L98" i="1"/>
  <c r="M98" i="1" a="1"/>
  <c r="M98" i="1" s="1"/>
  <c r="N98" i="1" a="1"/>
  <c r="N98" i="1" s="1"/>
  <c r="L99" i="1"/>
  <c r="M99" i="1" a="1"/>
  <c r="M99" i="1" s="1"/>
  <c r="N99" i="1" a="1"/>
  <c r="N99" i="1" s="1"/>
  <c r="L100" i="1"/>
  <c r="M100" i="1" a="1"/>
  <c r="M100" i="1"/>
  <c r="N100" i="1" a="1"/>
  <c r="N100" i="1" s="1"/>
  <c r="L101" i="1"/>
  <c r="M101" i="1" a="1"/>
  <c r="M101" i="1" s="1"/>
  <c r="N101" i="1" a="1"/>
  <c r="N101" i="1" s="1"/>
  <c r="L102" i="1"/>
  <c r="M102" i="1" a="1"/>
  <c r="M102" i="1"/>
  <c r="N102" i="1" a="1"/>
  <c r="N102" i="1" s="1"/>
  <c r="L103" i="1"/>
  <c r="M103" i="1" a="1"/>
  <c r="M103" i="1"/>
  <c r="N103" i="1" a="1"/>
  <c r="N103" i="1"/>
  <c r="L104" i="1"/>
  <c r="M104" i="1" a="1"/>
  <c r="M104" i="1"/>
  <c r="N104" i="1" a="1"/>
  <c r="N104" i="1" s="1"/>
  <c r="L105" i="1"/>
  <c r="M105" i="1" a="1"/>
  <c r="M105" i="1"/>
  <c r="N105" i="1" a="1"/>
  <c r="N105" i="1"/>
  <c r="L106" i="1"/>
  <c r="M106" i="1" a="1"/>
  <c r="M106" i="1" s="1"/>
  <c r="N106" i="1" a="1"/>
  <c r="N106" i="1" s="1"/>
  <c r="L107" i="1"/>
  <c r="M107" i="1" a="1"/>
  <c r="M107" i="1" s="1"/>
  <c r="N107" i="1" a="1"/>
  <c r="N107" i="1"/>
  <c r="L108" i="1"/>
  <c r="M108" i="1" a="1"/>
  <c r="M108" i="1" s="1"/>
  <c r="N108" i="1" a="1"/>
  <c r="N108" i="1" s="1"/>
  <c r="L109" i="1"/>
  <c r="M109" i="1" a="1"/>
  <c r="M109" i="1"/>
  <c r="N109" i="1" a="1"/>
  <c r="N109" i="1"/>
  <c r="L110" i="1"/>
  <c r="M110" i="1" a="1"/>
  <c r="M110" i="1" s="1"/>
  <c r="N110" i="1" a="1"/>
  <c r="N110" i="1" s="1"/>
  <c r="L111" i="1"/>
  <c r="M111" i="1" a="1"/>
  <c r="M111" i="1" s="1"/>
  <c r="N111" i="1" a="1"/>
  <c r="N111" i="1" s="1"/>
  <c r="L112" i="1"/>
  <c r="M112" i="1" a="1"/>
  <c r="M112" i="1" s="1"/>
  <c r="N112" i="1" a="1"/>
  <c r="N112" i="1" s="1"/>
  <c r="L113" i="1"/>
  <c r="M113" i="1" a="1"/>
  <c r="M113" i="1" s="1"/>
  <c r="N113" i="1" a="1"/>
  <c r="N113" i="1"/>
  <c r="L114" i="1"/>
  <c r="M114" i="1" a="1"/>
  <c r="M114" i="1" s="1"/>
  <c r="N114" i="1" a="1"/>
  <c r="N114" i="1" s="1"/>
  <c r="L115" i="1"/>
  <c r="M115" i="1" a="1"/>
  <c r="M115" i="1" s="1"/>
  <c r="N115" i="1" a="1"/>
  <c r="N115" i="1"/>
  <c r="L116" i="1"/>
  <c r="M116" i="1" a="1"/>
  <c r="M116" i="1" s="1"/>
  <c r="N116" i="1" a="1"/>
  <c r="N116" i="1" s="1"/>
  <c r="L117" i="1"/>
  <c r="M117" i="1" a="1"/>
  <c r="M117" i="1" s="1"/>
  <c r="N117" i="1" a="1"/>
  <c r="N117" i="1" s="1"/>
  <c r="L118" i="1"/>
  <c r="M118" i="1" a="1"/>
  <c r="M118" i="1" s="1"/>
  <c r="N118" i="1" a="1"/>
  <c r="N118" i="1"/>
  <c r="L119" i="1"/>
  <c r="M119" i="1" a="1"/>
  <c r="M119" i="1" s="1"/>
  <c r="N119" i="1" a="1"/>
  <c r="N119" i="1" s="1"/>
  <c r="L120" i="1"/>
  <c r="M120" i="1" a="1"/>
  <c r="M120" i="1"/>
  <c r="N120" i="1" a="1"/>
  <c r="N120" i="1"/>
  <c r="L121" i="1"/>
  <c r="M121" i="1" a="1"/>
  <c r="M121" i="1" s="1"/>
  <c r="N121" i="1" a="1"/>
  <c r="N121" i="1" s="1"/>
  <c r="L122" i="1"/>
  <c r="M122" i="1" a="1"/>
  <c r="M122" i="1"/>
  <c r="N122" i="1" a="1"/>
  <c r="N122" i="1" s="1"/>
  <c r="L123" i="1"/>
  <c r="M123" i="1" a="1"/>
  <c r="M123" i="1" s="1"/>
  <c r="N123" i="1" a="1"/>
  <c r="N123" i="1" s="1"/>
  <c r="L124" i="1"/>
  <c r="M124" i="1" a="1"/>
  <c r="M124" i="1"/>
  <c r="N124" i="1" a="1"/>
  <c r="N124" i="1" s="1"/>
  <c r="L125" i="1"/>
  <c r="M125" i="1" a="1"/>
  <c r="M125" i="1" s="1"/>
  <c r="N125" i="1" a="1"/>
  <c r="N125" i="1"/>
  <c r="L126" i="1"/>
  <c r="M126" i="1" a="1"/>
  <c r="M126" i="1"/>
  <c r="N126" i="1" a="1"/>
  <c r="N126" i="1"/>
  <c r="L127" i="1"/>
  <c r="M127" i="1" a="1"/>
  <c r="M127" i="1" s="1"/>
  <c r="N127" i="1" a="1"/>
  <c r="N127" i="1"/>
  <c r="L128" i="1"/>
  <c r="M128" i="1" a="1"/>
  <c r="M128" i="1" s="1"/>
  <c r="N128" i="1" a="1"/>
  <c r="N128" i="1" s="1"/>
  <c r="L129" i="1"/>
  <c r="M129" i="1" a="1"/>
  <c r="M129" i="1" s="1"/>
  <c r="N129" i="1" a="1"/>
  <c r="N129" i="1" s="1"/>
  <c r="L130" i="1"/>
  <c r="M130" i="1" a="1"/>
  <c r="M130" i="1"/>
  <c r="N130" i="1" a="1"/>
  <c r="N130" i="1" s="1"/>
  <c r="L131" i="1"/>
  <c r="M131" i="1" a="1"/>
  <c r="M131" i="1" s="1"/>
  <c r="N131" i="1" a="1"/>
  <c r="N131" i="1" s="1"/>
  <c r="L132" i="1"/>
  <c r="M132" i="1" a="1"/>
  <c r="M132" i="1" s="1"/>
  <c r="N132" i="1" a="1"/>
  <c r="N132" i="1" s="1"/>
  <c r="L133" i="1"/>
  <c r="M133" i="1" a="1"/>
  <c r="M133" i="1" s="1"/>
  <c r="N133" i="1" a="1"/>
  <c r="N133" i="1" s="1"/>
  <c r="L134" i="1"/>
  <c r="M134" i="1" a="1"/>
  <c r="M134" i="1" s="1"/>
  <c r="N134" i="1" a="1"/>
  <c r="N134" i="1" s="1"/>
  <c r="L135" i="1"/>
  <c r="M135" i="1" a="1"/>
  <c r="M135" i="1"/>
  <c r="N135" i="1" a="1"/>
  <c r="N135" i="1" s="1"/>
  <c r="L136" i="1"/>
  <c r="M136" i="1" a="1"/>
  <c r="M136" i="1" s="1"/>
  <c r="N136" i="1" a="1"/>
  <c r="N136" i="1"/>
  <c r="L137" i="1"/>
  <c r="M137" i="1" a="1"/>
  <c r="M137" i="1" s="1"/>
  <c r="N137" i="1" a="1"/>
  <c r="N137" i="1" s="1"/>
  <c r="L138" i="1"/>
  <c r="M138" i="1" a="1"/>
  <c r="M138" i="1" s="1"/>
  <c r="N138" i="1" a="1"/>
  <c r="N138" i="1"/>
  <c r="L139" i="1"/>
  <c r="M139" i="1" a="1"/>
  <c r="M139" i="1" s="1"/>
  <c r="N139" i="1" a="1"/>
  <c r="N139" i="1" s="1"/>
  <c r="L140" i="1"/>
  <c r="M140" i="1" a="1"/>
  <c r="M140" i="1" s="1"/>
  <c r="N140" i="1" a="1"/>
  <c r="N140" i="1" s="1"/>
  <c r="L141" i="1"/>
  <c r="M141" i="1" a="1"/>
  <c r="M141" i="1" s="1"/>
  <c r="N141" i="1" a="1"/>
  <c r="N141" i="1" s="1"/>
  <c r="L142" i="1"/>
  <c r="M142" i="1" a="1"/>
  <c r="M142" i="1"/>
  <c r="N142" i="1" a="1"/>
  <c r="N142" i="1" s="1"/>
  <c r="L143" i="1"/>
  <c r="M143" i="1" a="1"/>
  <c r="M143" i="1" s="1"/>
  <c r="N143" i="1" a="1"/>
  <c r="N143" i="1"/>
  <c r="L144" i="1"/>
  <c r="M144" i="1" a="1"/>
  <c r="M144" i="1" s="1"/>
  <c r="N144" i="1" a="1"/>
  <c r="N144" i="1" s="1"/>
  <c r="L145" i="1"/>
  <c r="M145" i="1" a="1"/>
  <c r="M145" i="1"/>
  <c r="N145" i="1" a="1"/>
  <c r="N145" i="1" s="1"/>
  <c r="L146" i="1"/>
  <c r="M146" i="1" a="1"/>
  <c r="M146" i="1" s="1"/>
  <c r="N146" i="1" a="1"/>
  <c r="N146" i="1" s="1"/>
  <c r="L147" i="1"/>
  <c r="M147" i="1" a="1"/>
  <c r="M147" i="1"/>
  <c r="N147" i="1" a="1"/>
  <c r="N147" i="1" s="1"/>
  <c r="L148" i="1"/>
  <c r="M148" i="1" a="1"/>
  <c r="M148" i="1"/>
  <c r="N148" i="1" a="1"/>
  <c r="N148" i="1" s="1"/>
  <c r="L149" i="1"/>
  <c r="M149" i="1" a="1"/>
  <c r="M149" i="1"/>
  <c r="N149" i="1" a="1"/>
  <c r="N149" i="1" s="1"/>
  <c r="L150" i="1"/>
  <c r="M150" i="1" a="1"/>
  <c r="M150" i="1"/>
  <c r="N150" i="1" a="1"/>
  <c r="N150" i="1"/>
  <c r="L151" i="1"/>
  <c r="M151" i="1" a="1"/>
  <c r="M151" i="1" s="1"/>
  <c r="N151" i="1" a="1"/>
  <c r="N151" i="1" s="1"/>
  <c r="L152" i="1"/>
  <c r="M152" i="1" a="1"/>
  <c r="M152" i="1"/>
  <c r="N152" i="1" a="1"/>
  <c r="N152" i="1" s="1"/>
  <c r="L153" i="1"/>
  <c r="M153" i="1" a="1"/>
  <c r="M153" i="1" s="1"/>
  <c r="N153" i="1" a="1"/>
  <c r="N153" i="1" s="1"/>
  <c r="L154" i="1"/>
  <c r="M154" i="1" a="1"/>
  <c r="M154" i="1"/>
  <c r="N154" i="1" a="1"/>
  <c r="N154" i="1" s="1"/>
  <c r="L155" i="1"/>
  <c r="M155" i="1" a="1"/>
  <c r="M155" i="1" s="1"/>
  <c r="N155" i="1" a="1"/>
  <c r="N155" i="1" s="1"/>
  <c r="L156" i="1"/>
  <c r="M156" i="1" a="1"/>
  <c r="M156" i="1"/>
  <c r="N156" i="1" a="1"/>
  <c r="N156" i="1"/>
  <c r="L157" i="1"/>
  <c r="M157" i="1" a="1"/>
  <c r="M157" i="1" s="1"/>
  <c r="N157" i="1" a="1"/>
  <c r="N157" i="1"/>
  <c r="L158" i="1"/>
  <c r="M158" i="1" a="1"/>
  <c r="M158" i="1" s="1"/>
  <c r="N158" i="1" a="1"/>
  <c r="N158" i="1" s="1"/>
  <c r="L159" i="1"/>
  <c r="M159" i="1" a="1"/>
  <c r="M159" i="1" s="1"/>
  <c r="N159" i="1" a="1"/>
  <c r="N159" i="1"/>
  <c r="L160" i="1"/>
  <c r="M160" i="1" a="1"/>
  <c r="M160" i="1"/>
  <c r="N160" i="1" a="1"/>
  <c r="N160" i="1" s="1"/>
  <c r="L161" i="1"/>
  <c r="M161" i="1" a="1"/>
  <c r="M161" i="1"/>
  <c r="N161" i="1" a="1"/>
  <c r="N161" i="1"/>
  <c r="L162" i="1"/>
  <c r="M162" i="1" a="1"/>
  <c r="M162" i="1" s="1"/>
  <c r="N162" i="1" a="1"/>
  <c r="N162" i="1" s="1"/>
  <c r="L163" i="1"/>
  <c r="M163" i="1" a="1"/>
  <c r="M163" i="1"/>
  <c r="N163" i="1" a="1"/>
  <c r="N163" i="1"/>
  <c r="L164" i="1"/>
  <c r="M164" i="1" a="1"/>
  <c r="M164" i="1" s="1"/>
  <c r="N164" i="1" a="1"/>
  <c r="N164" i="1" s="1"/>
  <c r="L165" i="1"/>
  <c r="M165" i="1" a="1"/>
  <c r="M165" i="1" s="1"/>
  <c r="N165" i="1" a="1"/>
  <c r="N165" i="1"/>
  <c r="L166" i="1"/>
  <c r="M166" i="1" a="1"/>
  <c r="M166" i="1" s="1"/>
  <c r="N166" i="1" a="1"/>
  <c r="N166" i="1"/>
  <c r="L167" i="1"/>
  <c r="M167" i="1" a="1"/>
  <c r="M167" i="1" s="1"/>
  <c r="N167" i="1" a="1"/>
  <c r="N167" i="1"/>
  <c r="L168" i="1"/>
  <c r="M168" i="1" a="1"/>
  <c r="M168" i="1" s="1"/>
  <c r="N168" i="1" a="1"/>
  <c r="N168" i="1" s="1"/>
  <c r="L169" i="1"/>
  <c r="M169" i="1" a="1"/>
  <c r="M169" i="1"/>
  <c r="N169" i="1" a="1"/>
  <c r="N169" i="1"/>
  <c r="L170" i="1"/>
  <c r="M170" i="1" a="1"/>
  <c r="M170" i="1" s="1"/>
  <c r="N170" i="1" a="1"/>
  <c r="N170" i="1" s="1"/>
  <c r="L171" i="1"/>
  <c r="M171" i="1" a="1"/>
  <c r="M171" i="1"/>
  <c r="N171" i="1" a="1"/>
  <c r="N171" i="1" s="1"/>
  <c r="L172" i="1"/>
  <c r="M172" i="1" a="1"/>
  <c r="M172" i="1" s="1"/>
  <c r="N172" i="1" a="1"/>
  <c r="N172" i="1" s="1"/>
  <c r="L173" i="1"/>
  <c r="M173" i="1" a="1"/>
  <c r="M173" i="1" s="1"/>
  <c r="N173" i="1" a="1"/>
  <c r="N173" i="1" s="1"/>
  <c r="L174" i="1"/>
  <c r="M174" i="1" a="1"/>
  <c r="M174" i="1" s="1"/>
  <c r="N174" i="1" a="1"/>
  <c r="N174" i="1"/>
  <c r="L175" i="1"/>
  <c r="M175" i="1" a="1"/>
  <c r="M175" i="1" s="1"/>
  <c r="N175" i="1" a="1"/>
  <c r="N175" i="1"/>
  <c r="L176" i="1"/>
  <c r="M176" i="1" a="1"/>
  <c r="M176" i="1"/>
  <c r="N176" i="1" a="1"/>
  <c r="N176" i="1" s="1"/>
  <c r="L177" i="1"/>
  <c r="M177" i="1" a="1"/>
  <c r="M177" i="1" s="1"/>
  <c r="N177" i="1" a="1"/>
  <c r="N177" i="1"/>
  <c r="L178" i="1"/>
  <c r="M178" i="1" a="1"/>
  <c r="M178" i="1" s="1"/>
  <c r="N178" i="1" a="1"/>
  <c r="N178" i="1" s="1"/>
  <c r="L179" i="1"/>
  <c r="M179" i="1" a="1"/>
  <c r="M179" i="1" s="1"/>
  <c r="N179" i="1" a="1"/>
  <c r="N179" i="1" s="1"/>
  <c r="L180" i="1"/>
  <c r="M180" i="1" a="1"/>
  <c r="M180" i="1" s="1"/>
  <c r="N180" i="1" a="1"/>
  <c r="N180" i="1" s="1"/>
  <c r="L181" i="1"/>
  <c r="M181" i="1" a="1"/>
  <c r="M181" i="1" s="1"/>
  <c r="N181" i="1" a="1"/>
  <c r="N181" i="1"/>
  <c r="L182" i="1"/>
  <c r="M182" i="1" a="1"/>
  <c r="M182" i="1" s="1"/>
  <c r="N182" i="1" a="1"/>
  <c r="N182" i="1" s="1"/>
  <c r="L183" i="1"/>
  <c r="M183" i="1" a="1"/>
  <c r="M183" i="1" s="1"/>
  <c r="N183" i="1" a="1"/>
  <c r="N183" i="1" s="1"/>
  <c r="L184" i="1"/>
  <c r="M184" i="1" a="1"/>
  <c r="M184" i="1" s="1"/>
  <c r="N184" i="1" a="1"/>
  <c r="N184" i="1" s="1"/>
  <c r="L185" i="1"/>
  <c r="M185" i="1" a="1"/>
  <c r="M185" i="1"/>
  <c r="N185" i="1" a="1"/>
  <c r="N185" i="1"/>
  <c r="L186" i="1"/>
  <c r="M186" i="1" a="1"/>
  <c r="M186" i="1" s="1"/>
  <c r="N186" i="1" a="1"/>
  <c r="N186" i="1" s="1"/>
  <c r="L187" i="1"/>
  <c r="M187" i="1" a="1"/>
  <c r="M187" i="1"/>
  <c r="N187" i="1" a="1"/>
  <c r="N187" i="1" s="1"/>
  <c r="L188" i="1"/>
  <c r="M188" i="1" a="1"/>
  <c r="M188" i="1" s="1"/>
  <c r="N188" i="1" a="1"/>
  <c r="N188" i="1" s="1"/>
  <c r="L189" i="1"/>
  <c r="M189" i="1" a="1"/>
  <c r="M189" i="1" s="1"/>
  <c r="N189" i="1" a="1"/>
  <c r="N189" i="1"/>
  <c r="L190" i="1"/>
  <c r="M190" i="1" a="1"/>
  <c r="M190" i="1"/>
  <c r="N190" i="1" a="1"/>
  <c r="N190" i="1" s="1"/>
  <c r="L191" i="1"/>
  <c r="M191" i="1" a="1"/>
  <c r="M191" i="1" s="1"/>
  <c r="N191" i="1" a="1"/>
  <c r="N191" i="1" s="1"/>
  <c r="L192" i="1"/>
  <c r="M192" i="1" a="1"/>
  <c r="M192" i="1" s="1"/>
  <c r="N192" i="1" a="1"/>
  <c r="N192" i="1" s="1"/>
  <c r="L193" i="1"/>
  <c r="M193" i="1" a="1"/>
  <c r="M193" i="1" s="1"/>
  <c r="N193" i="1" a="1"/>
  <c r="N193" i="1" s="1"/>
  <c r="L194" i="1"/>
  <c r="M194" i="1" a="1"/>
  <c r="M194" i="1" s="1"/>
  <c r="N194" i="1" a="1"/>
  <c r="N194" i="1" s="1"/>
  <c r="L195" i="1"/>
  <c r="M195" i="1" a="1"/>
  <c r="M195" i="1" s="1"/>
  <c r="N195" i="1" a="1"/>
  <c r="N195" i="1" s="1"/>
  <c r="L196" i="1"/>
  <c r="M196" i="1" a="1"/>
  <c r="M196" i="1" s="1"/>
  <c r="N196" i="1" a="1"/>
  <c r="N196" i="1" s="1"/>
  <c r="L197" i="1"/>
  <c r="M197" i="1" a="1"/>
  <c r="M197" i="1" s="1"/>
  <c r="N197" i="1" a="1"/>
  <c r="N197" i="1" s="1"/>
  <c r="L198" i="1"/>
  <c r="M198" i="1" a="1"/>
  <c r="M198" i="1"/>
  <c r="N198" i="1" a="1"/>
  <c r="N198" i="1" s="1"/>
  <c r="L199" i="1"/>
  <c r="M199" i="1" a="1"/>
  <c r="M199" i="1" s="1"/>
  <c r="N199" i="1" a="1"/>
  <c r="N199" i="1" s="1"/>
  <c r="L200" i="1"/>
  <c r="M200" i="1" a="1"/>
  <c r="M200" i="1"/>
  <c r="N200" i="1" a="1"/>
  <c r="N200" i="1" s="1"/>
  <c r="L201" i="1"/>
  <c r="M201" i="1" a="1"/>
  <c r="M201" i="1" s="1"/>
  <c r="N201" i="1" a="1"/>
  <c r="N201" i="1"/>
  <c r="L202" i="1"/>
  <c r="M202" i="1" a="1"/>
  <c r="M202" i="1"/>
  <c r="N202" i="1" a="1"/>
  <c r="N202" i="1" s="1"/>
  <c r="L203" i="1"/>
  <c r="M203" i="1" a="1"/>
  <c r="M203" i="1"/>
  <c r="N203" i="1" a="1"/>
  <c r="N203" i="1" s="1"/>
  <c r="L204" i="1"/>
  <c r="M204" i="1" a="1"/>
  <c r="M204" i="1" s="1"/>
  <c r="N204" i="1" a="1"/>
  <c r="N204" i="1" s="1"/>
  <c r="L205" i="1"/>
  <c r="M205" i="1" a="1"/>
  <c r="M205" i="1"/>
  <c r="N205" i="1" a="1"/>
  <c r="N205" i="1" s="1"/>
  <c r="L206" i="1"/>
  <c r="M206" i="1" a="1"/>
  <c r="M206" i="1" s="1"/>
  <c r="N206" i="1" a="1"/>
  <c r="N206" i="1" s="1"/>
  <c r="L207" i="1"/>
  <c r="M207" i="1" a="1"/>
  <c r="M207" i="1"/>
  <c r="N207" i="1" a="1"/>
  <c r="N207" i="1" s="1"/>
  <c r="L208" i="1"/>
  <c r="M208" i="1" a="1"/>
  <c r="M208" i="1"/>
  <c r="N208" i="1" a="1"/>
  <c r="N208" i="1"/>
  <c r="L209" i="1"/>
  <c r="M209" i="1" a="1"/>
  <c r="M209" i="1" s="1"/>
  <c r="N209" i="1" a="1"/>
  <c r="N209" i="1" s="1"/>
  <c r="L210" i="1"/>
  <c r="M210" i="1" a="1"/>
  <c r="M210" i="1"/>
  <c r="N210" i="1" a="1"/>
  <c r="N210" i="1"/>
  <c r="L211" i="1"/>
  <c r="M211" i="1" a="1"/>
  <c r="M211" i="1" s="1"/>
  <c r="N211" i="1" a="1"/>
  <c r="N211" i="1" s="1"/>
  <c r="L212" i="1"/>
  <c r="M212" i="1" a="1"/>
  <c r="M212" i="1"/>
  <c r="N212" i="1" a="1"/>
  <c r="N212" i="1" s="1"/>
  <c r="L213" i="1"/>
  <c r="M213" i="1" a="1"/>
  <c r="M213" i="1" s="1"/>
  <c r="N213" i="1" a="1"/>
  <c r="N213" i="1" s="1"/>
  <c r="L214" i="1"/>
  <c r="M214" i="1" a="1"/>
  <c r="M214" i="1" s="1"/>
  <c r="N214" i="1" a="1"/>
  <c r="N214" i="1" s="1"/>
  <c r="L215" i="1"/>
  <c r="M215" i="1" a="1"/>
  <c r="M215" i="1" s="1"/>
  <c r="N215" i="1" a="1"/>
  <c r="N215" i="1" s="1"/>
  <c r="L216" i="1"/>
  <c r="M216" i="1" a="1"/>
  <c r="M216" i="1"/>
  <c r="N216" i="1" a="1"/>
  <c r="N216" i="1" s="1"/>
  <c r="L217" i="1"/>
  <c r="M217" i="1" a="1"/>
  <c r="M217" i="1" s="1"/>
  <c r="N217" i="1" a="1"/>
  <c r="N217" i="1" s="1"/>
  <c r="L218" i="1"/>
  <c r="M218" i="1" a="1"/>
  <c r="M218" i="1"/>
  <c r="N218" i="1" a="1"/>
  <c r="N218" i="1" s="1"/>
  <c r="L219" i="1"/>
  <c r="M219" i="1" a="1"/>
  <c r="M219" i="1" s="1"/>
  <c r="N219" i="1" a="1"/>
  <c r="N219" i="1" s="1"/>
  <c r="L220" i="1"/>
  <c r="M220" i="1" a="1"/>
  <c r="M220" i="1" s="1"/>
  <c r="N220" i="1" a="1"/>
  <c r="N220" i="1" s="1"/>
  <c r="L221" i="1"/>
  <c r="M221" i="1" a="1"/>
  <c r="M221" i="1"/>
  <c r="N221" i="1" a="1"/>
  <c r="N221" i="1" s="1"/>
  <c r="L222" i="1"/>
  <c r="M222" i="1" a="1"/>
  <c r="M222" i="1" s="1"/>
  <c r="N222" i="1" a="1"/>
  <c r="N222" i="1"/>
  <c r="L223" i="1"/>
  <c r="M223" i="1" a="1"/>
  <c r="M223" i="1" s="1"/>
  <c r="N223" i="1" a="1"/>
  <c r="N223" i="1" s="1"/>
  <c r="L224" i="1"/>
  <c r="M224" i="1" a="1"/>
  <c r="M224" i="1"/>
  <c r="N224" i="1" a="1"/>
  <c r="N224" i="1"/>
  <c r="L225" i="1"/>
  <c r="M225" i="1" a="1"/>
  <c r="M225" i="1" s="1"/>
  <c r="N225" i="1" a="1"/>
  <c r="N225" i="1"/>
  <c r="L226" i="1"/>
  <c r="M226" i="1" a="1"/>
  <c r="M226" i="1" s="1"/>
  <c r="N226" i="1" a="1"/>
  <c r="N226" i="1" s="1"/>
  <c r="L227" i="1"/>
  <c r="M227" i="1" a="1"/>
  <c r="M227" i="1"/>
  <c r="N227" i="1" a="1"/>
  <c r="N227" i="1"/>
  <c r="L228" i="1"/>
  <c r="M228" i="1" a="1"/>
  <c r="M228" i="1" s="1"/>
  <c r="N228" i="1" a="1"/>
  <c r="N228" i="1" s="1"/>
  <c r="L229" i="1"/>
  <c r="M229" i="1" a="1"/>
  <c r="M229" i="1" s="1"/>
  <c r="N229" i="1" a="1"/>
  <c r="N229" i="1"/>
  <c r="L230" i="1"/>
  <c r="M230" i="1" a="1"/>
  <c r="M230" i="1"/>
  <c r="N230" i="1" a="1"/>
  <c r="N230" i="1" s="1"/>
  <c r="L231" i="1"/>
  <c r="M231" i="1" a="1"/>
  <c r="M231" i="1" s="1"/>
  <c r="N231" i="1" a="1"/>
  <c r="N231" i="1" s="1"/>
  <c r="L232" i="1"/>
  <c r="M232" i="1" a="1"/>
  <c r="M232" i="1" s="1"/>
  <c r="N232" i="1" a="1"/>
  <c r="N232" i="1" s="1"/>
  <c r="L233" i="1"/>
  <c r="M233" i="1" a="1"/>
  <c r="M233" i="1" s="1"/>
  <c r="N233" i="1" a="1"/>
  <c r="N233" i="1"/>
  <c r="L234" i="1"/>
  <c r="M234" i="1" a="1"/>
  <c r="M234" i="1" s="1"/>
  <c r="N234" i="1" a="1"/>
  <c r="N234" i="1" s="1"/>
  <c r="L235" i="1"/>
  <c r="M235" i="1" a="1"/>
  <c r="M235" i="1"/>
  <c r="N235" i="1" a="1"/>
  <c r="N235" i="1"/>
  <c r="L236" i="1"/>
  <c r="M236" i="1" a="1"/>
  <c r="M236" i="1" s="1"/>
  <c r="N236" i="1" a="1"/>
  <c r="N236" i="1" s="1"/>
  <c r="L237" i="1"/>
  <c r="M237" i="1" a="1"/>
  <c r="M237" i="1" s="1"/>
  <c r="N237" i="1" a="1"/>
  <c r="N237" i="1" s="1"/>
  <c r="L238" i="1"/>
  <c r="M238" i="1" a="1"/>
  <c r="M238" i="1" s="1"/>
  <c r="N238" i="1" a="1"/>
  <c r="N238" i="1" s="1"/>
  <c r="L239" i="1"/>
  <c r="M239" i="1" a="1"/>
  <c r="M239" i="1"/>
  <c r="N239" i="1" a="1"/>
  <c r="N239" i="1" s="1"/>
  <c r="L240" i="1"/>
  <c r="M240" i="1" a="1"/>
  <c r="M240" i="1" s="1"/>
  <c r="N240" i="1" a="1"/>
  <c r="N240" i="1" s="1"/>
  <c r="L241" i="1"/>
  <c r="M241" i="1" a="1"/>
  <c r="M241" i="1" s="1"/>
  <c r="N241" i="1" a="1"/>
  <c r="N241" i="1" s="1"/>
  <c r="L242" i="1"/>
  <c r="M242" i="1" a="1"/>
  <c r="M242" i="1" s="1"/>
  <c r="N242" i="1" a="1"/>
  <c r="N242" i="1" s="1"/>
  <c r="L243" i="1"/>
  <c r="M243" i="1" a="1"/>
  <c r="M243" i="1" s="1"/>
  <c r="N243" i="1" a="1"/>
  <c r="N243" i="1" s="1"/>
  <c r="L244" i="1"/>
  <c r="M244" i="1" a="1"/>
  <c r="M244" i="1" s="1"/>
  <c r="N244" i="1" a="1"/>
  <c r="N244" i="1" s="1"/>
  <c r="L245" i="1"/>
  <c r="M245" i="1" a="1"/>
  <c r="M245" i="1"/>
  <c r="N245" i="1" a="1"/>
  <c r="N245" i="1" s="1"/>
  <c r="L246" i="1"/>
  <c r="M246" i="1" a="1"/>
  <c r="M246" i="1" s="1"/>
  <c r="N246" i="1" a="1"/>
  <c r="N246" i="1" s="1"/>
  <c r="L247" i="1"/>
  <c r="M247" i="1" a="1"/>
  <c r="M247" i="1"/>
  <c r="N247" i="1" a="1"/>
  <c r="N247" i="1" s="1"/>
  <c r="L248" i="1"/>
  <c r="M248" i="1" a="1"/>
  <c r="M248" i="1" s="1"/>
  <c r="N248" i="1" a="1"/>
  <c r="N248" i="1" s="1"/>
  <c r="L249" i="1"/>
  <c r="M249" i="1" a="1"/>
  <c r="M249" i="1" s="1"/>
  <c r="N249" i="1" a="1"/>
  <c r="N249" i="1" s="1"/>
  <c r="L250" i="1"/>
  <c r="M250" i="1" a="1"/>
  <c r="M250" i="1" s="1"/>
  <c r="N250" i="1" a="1"/>
  <c r="N250" i="1"/>
  <c r="L251" i="1"/>
  <c r="M251" i="1" a="1"/>
  <c r="M251" i="1" s="1"/>
  <c r="N251" i="1" a="1"/>
  <c r="N251" i="1"/>
  <c r="L252" i="1"/>
  <c r="M252" i="1" a="1"/>
  <c r="M252" i="1"/>
  <c r="N252" i="1" a="1"/>
  <c r="N252" i="1" s="1"/>
  <c r="L253" i="1"/>
  <c r="M253" i="1" a="1"/>
  <c r="M253" i="1" s="1"/>
  <c r="N253" i="1" a="1"/>
  <c r="N253" i="1" s="1"/>
  <c r="L254" i="1"/>
  <c r="M254" i="1" a="1"/>
  <c r="M254" i="1" s="1"/>
  <c r="N254" i="1" a="1"/>
  <c r="N254" i="1" s="1"/>
  <c r="L255" i="1"/>
  <c r="M255" i="1" a="1"/>
  <c r="M255" i="1" s="1"/>
  <c r="N255" i="1" a="1"/>
  <c r="N255" i="1" s="1"/>
  <c r="L256" i="1"/>
  <c r="M256" i="1" a="1"/>
  <c r="M256" i="1" s="1"/>
  <c r="N256" i="1" a="1"/>
  <c r="N256" i="1"/>
  <c r="L257" i="1"/>
  <c r="M257" i="1" a="1"/>
  <c r="M257" i="1" s="1"/>
  <c r="N257" i="1" a="1"/>
  <c r="N257" i="1" s="1"/>
  <c r="L258" i="1"/>
  <c r="M258" i="1" a="1"/>
  <c r="M258" i="1" s="1"/>
  <c r="N258" i="1" a="1"/>
  <c r="N258" i="1"/>
  <c r="L259" i="1"/>
  <c r="M259" i="1" a="1"/>
  <c r="M259" i="1" s="1"/>
  <c r="N259" i="1" a="1"/>
  <c r="N259" i="1" s="1"/>
  <c r="L260" i="1"/>
  <c r="M260" i="1" a="1"/>
  <c r="M260" i="1" s="1"/>
  <c r="N260" i="1" a="1"/>
  <c r="N260" i="1" s="1"/>
  <c r="L261" i="1"/>
  <c r="M261" i="1" a="1"/>
  <c r="M261" i="1" s="1"/>
  <c r="N261" i="1" a="1"/>
  <c r="N261" i="1"/>
  <c r="L262" i="1"/>
  <c r="M262" i="1" a="1"/>
  <c r="M262" i="1" s="1"/>
  <c r="N262" i="1" a="1"/>
  <c r="N262" i="1"/>
  <c r="L263" i="1"/>
  <c r="M263" i="1" a="1"/>
  <c r="M263" i="1" s="1"/>
  <c r="N263" i="1" a="1"/>
  <c r="N263" i="1"/>
  <c r="L264" i="1"/>
  <c r="M264" i="1" a="1"/>
  <c r="M264" i="1" s="1"/>
  <c r="N264" i="1" a="1"/>
  <c r="N264" i="1"/>
  <c r="L265" i="1"/>
  <c r="M265" i="1" a="1"/>
  <c r="M265" i="1"/>
  <c r="N265" i="1" a="1"/>
  <c r="N265" i="1"/>
  <c r="L266" i="1"/>
  <c r="M266" i="1" a="1"/>
  <c r="M266" i="1"/>
  <c r="N266" i="1" a="1"/>
  <c r="N266" i="1" s="1"/>
  <c r="L267" i="1"/>
  <c r="M267" i="1" a="1"/>
  <c r="M267" i="1" s="1"/>
  <c r="N267" i="1" a="1"/>
  <c r="N267" i="1" s="1"/>
  <c r="L268" i="1"/>
  <c r="M268" i="1" a="1"/>
  <c r="M268" i="1" s="1"/>
  <c r="N268" i="1" a="1"/>
  <c r="N268" i="1" s="1"/>
  <c r="L269" i="1"/>
  <c r="M269" i="1" a="1"/>
  <c r="M269" i="1" s="1"/>
  <c r="N269" i="1" a="1"/>
  <c r="N269" i="1" s="1"/>
  <c r="L270" i="1"/>
  <c r="M270" i="1" a="1"/>
  <c r="M270" i="1" s="1"/>
  <c r="N270" i="1" a="1"/>
  <c r="N270" i="1" s="1"/>
  <c r="L271" i="1"/>
  <c r="M271" i="1" a="1"/>
  <c r="M271" i="1" s="1"/>
  <c r="N271" i="1" a="1"/>
  <c r="N271" i="1"/>
  <c r="L272" i="1"/>
  <c r="M272" i="1" a="1"/>
  <c r="M272" i="1"/>
  <c r="N272" i="1" a="1"/>
  <c r="N272" i="1" s="1"/>
  <c r="L273" i="1"/>
  <c r="M273" i="1" a="1"/>
  <c r="M273" i="1" s="1"/>
  <c r="N273" i="1" a="1"/>
  <c r="N273" i="1" s="1"/>
  <c r="L274" i="1"/>
  <c r="M274" i="1" a="1"/>
  <c r="M274" i="1" s="1"/>
  <c r="N274" i="1" a="1"/>
  <c r="N274" i="1" s="1"/>
  <c r="L275" i="1"/>
  <c r="M275" i="1" a="1"/>
  <c r="M275" i="1" s="1"/>
  <c r="N275" i="1" a="1"/>
  <c r="N275" i="1" s="1"/>
  <c r="L276" i="1"/>
  <c r="M276" i="1" a="1"/>
  <c r="M276" i="1" s="1"/>
  <c r="N276" i="1" a="1"/>
  <c r="N276" i="1" s="1"/>
  <c r="L277" i="1"/>
  <c r="M277" i="1" a="1"/>
  <c r="M277" i="1" s="1"/>
  <c r="N277" i="1" a="1"/>
  <c r="N277" i="1"/>
  <c r="L278" i="1"/>
  <c r="M278" i="1" a="1"/>
  <c r="M278" i="1" s="1"/>
  <c r="N278" i="1" a="1"/>
  <c r="N278" i="1" s="1"/>
  <c r="L279" i="1"/>
  <c r="M279" i="1" a="1"/>
  <c r="M279" i="1" s="1"/>
  <c r="N279" i="1" a="1"/>
  <c r="N279" i="1" s="1"/>
  <c r="L280" i="1"/>
  <c r="M280" i="1" a="1"/>
  <c r="M280" i="1" s="1"/>
  <c r="N280" i="1" a="1"/>
  <c r="N280" i="1" s="1"/>
  <c r="L281" i="1"/>
  <c r="M281" i="1" a="1"/>
  <c r="M281" i="1" s="1"/>
  <c r="N281" i="1" a="1"/>
  <c r="N281" i="1" s="1"/>
  <c r="L282" i="1"/>
  <c r="M282" i="1" a="1"/>
  <c r="M282" i="1" s="1"/>
  <c r="N282" i="1" a="1"/>
  <c r="N282" i="1" s="1"/>
  <c r="L283" i="1"/>
  <c r="M283" i="1" a="1"/>
  <c r="M283" i="1" s="1"/>
  <c r="N283" i="1" a="1"/>
  <c r="N283" i="1"/>
  <c r="L284" i="1"/>
  <c r="M284" i="1" a="1"/>
  <c r="M284" i="1" s="1"/>
  <c r="N284" i="1" a="1"/>
  <c r="N284" i="1" s="1"/>
  <c r="L285" i="1"/>
  <c r="M285" i="1" a="1"/>
  <c r="M285" i="1"/>
  <c r="N285" i="1" a="1"/>
  <c r="N285" i="1"/>
  <c r="L286" i="1"/>
  <c r="M286" i="1" a="1"/>
  <c r="M286" i="1" s="1"/>
  <c r="N286" i="1" a="1"/>
  <c r="N286" i="1" s="1"/>
  <c r="L287" i="1"/>
  <c r="M287" i="1" a="1"/>
  <c r="M287" i="1"/>
  <c r="N287" i="1" a="1"/>
  <c r="N287" i="1"/>
  <c r="L288" i="1"/>
  <c r="M288" i="1" a="1"/>
  <c r="M288" i="1" s="1"/>
  <c r="N288" i="1" a="1"/>
  <c r="N288" i="1" s="1"/>
  <c r="L289" i="1"/>
  <c r="M289" i="1" a="1"/>
  <c r="M289" i="1" s="1"/>
  <c r="N289" i="1" a="1"/>
  <c r="N289" i="1"/>
  <c r="L290" i="1"/>
  <c r="M290" i="1" a="1"/>
  <c r="M290" i="1" s="1"/>
  <c r="N290" i="1" a="1"/>
  <c r="N290" i="1" s="1"/>
  <c r="L291" i="1"/>
  <c r="M291" i="1" a="1"/>
  <c r="M291" i="1" s="1"/>
  <c r="N291" i="1" a="1"/>
  <c r="N291" i="1" s="1"/>
  <c r="L292" i="1"/>
  <c r="M292" i="1" a="1"/>
  <c r="M292" i="1" s="1"/>
  <c r="N292" i="1" a="1"/>
  <c r="N292" i="1" s="1"/>
  <c r="L293" i="1"/>
  <c r="M293" i="1" a="1"/>
  <c r="M293" i="1" s="1"/>
  <c r="N293" i="1" a="1"/>
  <c r="N293" i="1" s="1"/>
  <c r="L294" i="1"/>
  <c r="M294" i="1" a="1"/>
  <c r="M294" i="1" s="1"/>
  <c r="N294" i="1" a="1"/>
  <c r="N294" i="1"/>
  <c r="L295" i="1"/>
  <c r="M295" i="1" a="1"/>
  <c r="M295" i="1" s="1"/>
  <c r="N295" i="1" a="1"/>
  <c r="N295" i="1"/>
  <c r="L296" i="1"/>
  <c r="M296" i="1" a="1"/>
  <c r="M296" i="1"/>
  <c r="N296" i="1" a="1"/>
  <c r="N296" i="1" s="1"/>
  <c r="L297" i="1"/>
  <c r="M297" i="1" a="1"/>
  <c r="M297" i="1"/>
  <c r="N297" i="1" a="1"/>
  <c r="N297" i="1" s="1"/>
  <c r="L298" i="1"/>
  <c r="M298" i="1" a="1"/>
  <c r="M298" i="1"/>
  <c r="N298" i="1" a="1"/>
  <c r="N298" i="1" s="1"/>
  <c r="L299" i="1"/>
  <c r="M299" i="1" a="1"/>
  <c r="M299" i="1" s="1"/>
  <c r="N299" i="1" a="1"/>
  <c r="N299" i="1" s="1"/>
  <c r="L300" i="1"/>
  <c r="M300" i="1" a="1"/>
  <c r="M300" i="1"/>
  <c r="N300" i="1" a="1"/>
  <c r="N300" i="1" s="1"/>
  <c r="L301" i="1"/>
  <c r="M301" i="1" a="1"/>
  <c r="M301" i="1" s="1"/>
  <c r="N301" i="1" a="1"/>
  <c r="N301" i="1" s="1"/>
  <c r="L302" i="1"/>
  <c r="M302" i="1" a="1"/>
  <c r="M302" i="1"/>
  <c r="N302" i="1" a="1"/>
  <c r="N302" i="1"/>
  <c r="L303" i="1"/>
  <c r="M303" i="1" a="1"/>
  <c r="M303" i="1" s="1"/>
  <c r="N303" i="1" a="1"/>
  <c r="N303" i="1"/>
  <c r="L304" i="1"/>
  <c r="M304" i="1" a="1"/>
  <c r="M304" i="1" s="1"/>
  <c r="N304" i="1" a="1"/>
  <c r="N304" i="1" s="1"/>
  <c r="L305" i="1"/>
  <c r="M305" i="1" a="1"/>
  <c r="M305" i="1" s="1"/>
  <c r="N305" i="1" a="1"/>
  <c r="N305" i="1"/>
  <c r="L306" i="1"/>
  <c r="M306" i="1" a="1"/>
  <c r="M306" i="1" s="1"/>
  <c r="N306" i="1" a="1"/>
  <c r="N306" i="1" s="1"/>
  <c r="L307" i="1"/>
  <c r="M307" i="1" a="1"/>
  <c r="M307" i="1" s="1"/>
  <c r="N307" i="1" a="1"/>
  <c r="N307" i="1" s="1"/>
  <c r="L308" i="1"/>
  <c r="M308" i="1" a="1"/>
  <c r="M308" i="1" s="1"/>
  <c r="N308" i="1" a="1"/>
  <c r="N308" i="1" s="1"/>
  <c r="L309" i="1"/>
  <c r="M309" i="1" a="1"/>
  <c r="M309" i="1" s="1"/>
  <c r="N309" i="1" a="1"/>
  <c r="N309" i="1"/>
  <c r="L310" i="1"/>
  <c r="M310" i="1" a="1"/>
  <c r="M310" i="1" s="1"/>
  <c r="N310" i="1" a="1"/>
  <c r="N310" i="1" s="1"/>
  <c r="L311" i="1"/>
  <c r="M311" i="1" a="1"/>
  <c r="M311" i="1" s="1"/>
  <c r="N311" i="1" a="1"/>
  <c r="N311" i="1"/>
  <c r="L312" i="1"/>
  <c r="M312" i="1" a="1"/>
  <c r="M312" i="1" s="1"/>
  <c r="N312" i="1" a="1"/>
  <c r="N312" i="1"/>
  <c r="L313" i="1"/>
  <c r="M313" i="1" a="1"/>
  <c r="M313" i="1" s="1"/>
  <c r="N313" i="1" a="1"/>
  <c r="N313" i="1"/>
  <c r="L314" i="1"/>
  <c r="M314" i="1" a="1"/>
  <c r="M314" i="1"/>
  <c r="N314" i="1" a="1"/>
  <c r="N314" i="1" s="1"/>
  <c r="L315" i="1"/>
  <c r="M315" i="1" a="1"/>
  <c r="M315" i="1" s="1"/>
  <c r="N315" i="1" a="1"/>
  <c r="N315" i="1"/>
  <c r="L316" i="1"/>
  <c r="M316" i="1" a="1"/>
  <c r="M316" i="1" s="1"/>
  <c r="N316" i="1" a="1"/>
  <c r="N316" i="1" s="1"/>
  <c r="L317" i="1"/>
  <c r="M317" i="1" a="1"/>
  <c r="M317" i="1" s="1"/>
  <c r="N317" i="1" a="1"/>
  <c r="N317" i="1"/>
  <c r="L318" i="1"/>
  <c r="M318" i="1" a="1"/>
  <c r="M318" i="1" s="1"/>
  <c r="N318" i="1" a="1"/>
  <c r="N318" i="1" s="1"/>
  <c r="L319" i="1"/>
  <c r="M319" i="1" a="1"/>
  <c r="M319" i="1" s="1"/>
  <c r="N319" i="1" a="1"/>
  <c r="N319" i="1"/>
  <c r="L320" i="1"/>
  <c r="M320" i="1" a="1"/>
  <c r="M320" i="1" s="1"/>
  <c r="N320" i="1" a="1"/>
  <c r="N320" i="1" s="1"/>
  <c r="L321" i="1"/>
  <c r="M321" i="1" a="1"/>
  <c r="M321" i="1"/>
  <c r="N321" i="1" a="1"/>
  <c r="N321" i="1"/>
  <c r="L322" i="1"/>
  <c r="M322" i="1" a="1"/>
  <c r="M322" i="1" s="1"/>
  <c r="N322" i="1" a="1"/>
  <c r="N322" i="1" s="1"/>
  <c r="L323" i="1"/>
  <c r="M323" i="1" a="1"/>
  <c r="M323" i="1"/>
  <c r="N323" i="1" a="1"/>
  <c r="N323" i="1"/>
  <c r="L324" i="1"/>
  <c r="M324" i="1" a="1"/>
  <c r="M324" i="1" s="1"/>
  <c r="N324" i="1" a="1"/>
  <c r="N324" i="1" s="1"/>
  <c r="L325" i="1"/>
  <c r="M325" i="1" a="1"/>
  <c r="M325" i="1"/>
  <c r="N325" i="1" a="1"/>
  <c r="N325" i="1" s="1"/>
  <c r="L326" i="1"/>
  <c r="M326" i="1" a="1"/>
  <c r="M326" i="1"/>
  <c r="N326" i="1" a="1"/>
  <c r="N326" i="1" s="1"/>
  <c r="L327" i="1"/>
  <c r="M327" i="1" a="1"/>
  <c r="M327" i="1" s="1"/>
  <c r="N327" i="1" a="1"/>
  <c r="N327" i="1" s="1"/>
  <c r="L328" i="1"/>
  <c r="M328" i="1" a="1"/>
  <c r="M328" i="1"/>
  <c r="N328" i="1" a="1"/>
  <c r="N328" i="1" s="1"/>
  <c r="L329" i="1"/>
  <c r="M329" i="1" a="1"/>
  <c r="M329" i="1" s="1"/>
  <c r="N329" i="1" a="1"/>
  <c r="N329" i="1" s="1"/>
  <c r="L330" i="1"/>
  <c r="M330" i="1" a="1"/>
  <c r="M330" i="1" s="1"/>
  <c r="N330" i="1" a="1"/>
  <c r="N330" i="1" s="1"/>
  <c r="L331" i="1"/>
  <c r="M331" i="1" a="1"/>
  <c r="M331" i="1" s="1"/>
  <c r="N331" i="1" a="1"/>
  <c r="N331" i="1"/>
  <c r="L332" i="1"/>
  <c r="M332" i="1" a="1"/>
  <c r="M332" i="1"/>
  <c r="N332" i="1" a="1"/>
  <c r="N332" i="1"/>
  <c r="L333" i="1"/>
  <c r="M333" i="1" a="1"/>
  <c r="M333" i="1" s="1"/>
  <c r="N333" i="1" a="1"/>
  <c r="N333" i="1" s="1"/>
  <c r="L334" i="1"/>
  <c r="M334" i="1" a="1"/>
  <c r="M334" i="1"/>
  <c r="N334" i="1" a="1"/>
  <c r="N334" i="1"/>
  <c r="L335" i="1"/>
  <c r="M335" i="1" a="1"/>
  <c r="M335" i="1" s="1"/>
  <c r="N335" i="1" a="1"/>
  <c r="N335" i="1" s="1"/>
  <c r="L336" i="1"/>
  <c r="M336" i="1" a="1"/>
  <c r="M336" i="1" s="1"/>
  <c r="N336" i="1" a="1"/>
  <c r="N336" i="1"/>
  <c r="L337" i="1"/>
  <c r="M337" i="1" a="1"/>
  <c r="M337" i="1" s="1"/>
  <c r="N337" i="1" a="1"/>
  <c r="N337" i="1"/>
  <c r="L338" i="1"/>
  <c r="M338" i="1" a="1"/>
  <c r="M338" i="1"/>
  <c r="N338" i="1" a="1"/>
  <c r="N338" i="1" s="1"/>
  <c r="L339" i="1"/>
  <c r="M339" i="1" a="1"/>
  <c r="M339" i="1"/>
  <c r="N339" i="1" a="1"/>
  <c r="N339" i="1" s="1"/>
  <c r="L340" i="1"/>
  <c r="M340" i="1" a="1"/>
  <c r="M340" i="1" s="1"/>
  <c r="N340" i="1" a="1"/>
  <c r="N340" i="1" s="1"/>
  <c r="L341" i="1"/>
  <c r="M341" i="1" a="1"/>
  <c r="M341" i="1" s="1"/>
  <c r="N341" i="1" a="1"/>
  <c r="N341" i="1" s="1"/>
  <c r="L342" i="1"/>
  <c r="M342" i="1" a="1"/>
  <c r="M342" i="1" s="1"/>
  <c r="N342" i="1" a="1"/>
  <c r="N342" i="1"/>
  <c r="L343" i="1"/>
  <c r="M343" i="1" a="1"/>
  <c r="M343" i="1" s="1"/>
  <c r="N343" i="1" a="1"/>
  <c r="N343" i="1"/>
  <c r="L344" i="1"/>
  <c r="M344" i="1" a="1"/>
  <c r="M344" i="1" s="1"/>
  <c r="N344" i="1" a="1"/>
  <c r="N344" i="1" s="1"/>
  <c r="L345" i="1"/>
  <c r="M345" i="1" a="1"/>
  <c r="M345" i="1" s="1"/>
  <c r="N345" i="1" a="1"/>
  <c r="N345" i="1" s="1"/>
  <c r="L346" i="1"/>
  <c r="M346" i="1" a="1"/>
  <c r="M346" i="1" s="1"/>
  <c r="N346" i="1" a="1"/>
  <c r="N346" i="1"/>
  <c r="L347" i="1"/>
  <c r="M347" i="1" a="1"/>
  <c r="M347" i="1" s="1"/>
  <c r="N347" i="1" a="1"/>
  <c r="N347" i="1" s="1"/>
  <c r="L348" i="1"/>
  <c r="M348" i="1" a="1"/>
  <c r="M348" i="1" s="1"/>
  <c r="N348" i="1" a="1"/>
  <c r="N348" i="1"/>
  <c r="L349" i="1"/>
  <c r="M349" i="1" a="1"/>
  <c r="M349" i="1" s="1"/>
  <c r="N349" i="1" a="1"/>
  <c r="N349" i="1"/>
  <c r="L350" i="1"/>
  <c r="M350" i="1" a="1"/>
  <c r="M350" i="1"/>
  <c r="N350" i="1" a="1"/>
  <c r="N350" i="1" s="1"/>
  <c r="L351" i="1"/>
  <c r="M351" i="1" a="1"/>
  <c r="M351" i="1" s="1"/>
  <c r="N351" i="1" a="1"/>
  <c r="N351" i="1"/>
  <c r="L352" i="1"/>
  <c r="M352" i="1" a="1"/>
  <c r="M352" i="1" s="1"/>
  <c r="N352" i="1" a="1"/>
  <c r="N352" i="1" s="1"/>
  <c r="L353" i="1"/>
  <c r="M353" i="1" a="1"/>
  <c r="M353" i="1" s="1"/>
  <c r="N353" i="1" a="1"/>
  <c r="N353" i="1"/>
  <c r="L354" i="1"/>
  <c r="M354" i="1" a="1"/>
  <c r="M354" i="1" s="1"/>
  <c r="N354" i="1" a="1"/>
  <c r="N354" i="1" s="1"/>
  <c r="L355" i="1"/>
  <c r="M355" i="1" a="1"/>
  <c r="M355" i="1" s="1"/>
  <c r="N355" i="1" a="1"/>
  <c r="N355" i="1" s="1"/>
  <c r="L356" i="1"/>
  <c r="M356" i="1" a="1"/>
  <c r="M356" i="1"/>
  <c r="N356" i="1" a="1"/>
  <c r="N356" i="1" s="1"/>
  <c r="L357" i="1"/>
  <c r="M357" i="1" a="1"/>
  <c r="M357" i="1" s="1"/>
  <c r="N357" i="1" a="1"/>
  <c r="N357" i="1"/>
  <c r="L358" i="1"/>
  <c r="M358" i="1" a="1"/>
  <c r="M358" i="1" s="1"/>
  <c r="N358" i="1" a="1"/>
  <c r="N358" i="1" s="1"/>
  <c r="L359" i="1"/>
  <c r="M359" i="1" a="1"/>
  <c r="M359" i="1" s="1"/>
  <c r="N359" i="1" a="1"/>
  <c r="N359" i="1" s="1"/>
  <c r="L360" i="1"/>
  <c r="M360" i="1" a="1"/>
  <c r="M360" i="1" s="1"/>
  <c r="N360" i="1" a="1"/>
  <c r="N360" i="1" s="1"/>
  <c r="L361" i="1"/>
  <c r="M361" i="1" a="1"/>
  <c r="M361" i="1" s="1"/>
  <c r="N361" i="1" a="1"/>
  <c r="N361" i="1" s="1"/>
  <c r="L362" i="1"/>
  <c r="M362" i="1" a="1"/>
  <c r="M362" i="1" s="1"/>
  <c r="N362" i="1" a="1"/>
  <c r="N362" i="1"/>
  <c r="L363" i="1"/>
  <c r="M363" i="1" a="1"/>
  <c r="M363" i="1" s="1"/>
  <c r="N363" i="1" a="1"/>
  <c r="N363" i="1" s="1"/>
  <c r="L364" i="1"/>
  <c r="M364" i="1" a="1"/>
  <c r="M364" i="1"/>
  <c r="N364" i="1" a="1"/>
  <c r="N364" i="1" s="1"/>
  <c r="L365" i="1"/>
  <c r="M365" i="1" a="1"/>
  <c r="M365" i="1" s="1"/>
  <c r="N365" i="1" a="1"/>
  <c r="N365" i="1" s="1"/>
  <c r="L366" i="1"/>
  <c r="M366" i="1" a="1"/>
  <c r="M366" i="1"/>
  <c r="N366" i="1" a="1"/>
  <c r="N366" i="1" s="1"/>
  <c r="L367" i="1"/>
  <c r="M367" i="1" a="1"/>
  <c r="M367" i="1"/>
  <c r="N367" i="1" a="1"/>
  <c r="N367" i="1" s="1"/>
  <c r="L368" i="1"/>
  <c r="M368" i="1" a="1"/>
  <c r="M368" i="1" s="1"/>
  <c r="N368" i="1" a="1"/>
  <c r="N368" i="1" s="1"/>
  <c r="L369" i="1"/>
  <c r="M369" i="1" a="1"/>
  <c r="M369" i="1"/>
  <c r="N369" i="1" a="1"/>
  <c r="N369" i="1" s="1"/>
  <c r="L370" i="1"/>
  <c r="M370" i="1" a="1"/>
  <c r="M370" i="1" s="1"/>
  <c r="N370" i="1" a="1"/>
  <c r="N370" i="1"/>
  <c r="L371" i="1"/>
  <c r="M371" i="1" a="1"/>
  <c r="M371" i="1" s="1"/>
  <c r="N371" i="1" a="1"/>
  <c r="N371" i="1" s="1"/>
  <c r="L372" i="1"/>
  <c r="M372" i="1" a="1"/>
  <c r="M372" i="1" s="1"/>
  <c r="N372" i="1" a="1"/>
  <c r="N372" i="1" s="1"/>
  <c r="L373" i="1"/>
  <c r="M373" i="1" a="1"/>
  <c r="M373" i="1" s="1"/>
  <c r="N373" i="1" a="1"/>
  <c r="N373" i="1" s="1"/>
  <c r="L374" i="1"/>
  <c r="M374" i="1" a="1"/>
  <c r="M374" i="1" s="1"/>
  <c r="N374" i="1" a="1"/>
  <c r="N374" i="1" s="1"/>
  <c r="L375" i="1"/>
  <c r="M375" i="1" a="1"/>
  <c r="M375" i="1" s="1"/>
  <c r="N375" i="1" a="1"/>
  <c r="N375" i="1" s="1"/>
  <c r="L376" i="1"/>
  <c r="M376" i="1" a="1"/>
  <c r="M376" i="1" s="1"/>
  <c r="N376" i="1" a="1"/>
  <c r="N376" i="1"/>
  <c r="L377" i="1"/>
  <c r="M377" i="1" a="1"/>
  <c r="M377" i="1" s="1"/>
  <c r="N377" i="1" a="1"/>
  <c r="N377" i="1" s="1"/>
  <c r="L378" i="1"/>
  <c r="M378" i="1" a="1"/>
  <c r="M378" i="1"/>
  <c r="N378" i="1" a="1"/>
  <c r="N378" i="1" s="1"/>
  <c r="L379" i="1"/>
  <c r="M379" i="1" a="1"/>
  <c r="M379" i="1" s="1"/>
  <c r="N379" i="1" a="1"/>
  <c r="N379" i="1" s="1"/>
  <c r="L380" i="1"/>
  <c r="M380" i="1" a="1"/>
  <c r="M380" i="1" s="1"/>
  <c r="N380" i="1" a="1"/>
  <c r="N380" i="1" s="1"/>
  <c r="L381" i="1"/>
  <c r="M381" i="1" a="1"/>
  <c r="M381" i="1" s="1"/>
  <c r="N381" i="1" a="1"/>
  <c r="N381" i="1" s="1"/>
  <c r="L382" i="1"/>
  <c r="M382" i="1" a="1"/>
  <c r="M382" i="1" s="1"/>
  <c r="N382" i="1" a="1"/>
  <c r="N382" i="1" s="1"/>
  <c r="L383" i="1"/>
  <c r="M383" i="1" a="1"/>
  <c r="M383" i="1"/>
  <c r="N383" i="1" a="1"/>
  <c r="N383" i="1" s="1"/>
  <c r="L384" i="1"/>
  <c r="M384" i="1" a="1"/>
  <c r="M384" i="1" s="1"/>
  <c r="N384" i="1" a="1"/>
  <c r="N384" i="1"/>
  <c r="L385" i="1"/>
  <c r="M385" i="1" a="1"/>
  <c r="M385" i="1" s="1"/>
  <c r="N385" i="1" a="1"/>
  <c r="N385" i="1" s="1"/>
  <c r="L386" i="1"/>
  <c r="M386" i="1" a="1"/>
  <c r="M386" i="1" s="1"/>
  <c r="N386" i="1" a="1"/>
  <c r="N386" i="1" s="1"/>
  <c r="L387" i="1"/>
  <c r="M387" i="1" a="1"/>
  <c r="M387" i="1" s="1"/>
  <c r="N387" i="1" a="1"/>
  <c r="N387" i="1"/>
  <c r="L388" i="1"/>
  <c r="M388" i="1" a="1"/>
  <c r="M388" i="1" s="1"/>
  <c r="N388" i="1" a="1"/>
  <c r="N388" i="1"/>
  <c r="L389" i="1"/>
  <c r="M389" i="1" a="1"/>
  <c r="M389" i="1"/>
  <c r="N389" i="1" a="1"/>
  <c r="N389" i="1" s="1"/>
  <c r="L390" i="1"/>
  <c r="M390" i="1" a="1"/>
  <c r="M390" i="1" s="1"/>
  <c r="N390" i="1" a="1"/>
  <c r="N390" i="1" s="1"/>
  <c r="L391" i="1"/>
  <c r="M391" i="1" a="1"/>
  <c r="M391" i="1" s="1"/>
  <c r="N391" i="1" a="1"/>
  <c r="N391" i="1"/>
  <c r="L392" i="1"/>
  <c r="M392" i="1" a="1"/>
  <c r="M392" i="1" s="1"/>
  <c r="N392" i="1" a="1"/>
  <c r="N392" i="1"/>
  <c r="L393" i="1"/>
  <c r="M393" i="1" a="1"/>
  <c r="M393" i="1"/>
  <c r="N393" i="1" a="1"/>
  <c r="N393" i="1" s="1"/>
  <c r="L394" i="1"/>
  <c r="M394" i="1" a="1"/>
  <c r="M394" i="1" s="1"/>
  <c r="N394" i="1" a="1"/>
  <c r="N394" i="1" s="1"/>
  <c r="L395" i="1"/>
  <c r="M395" i="1" a="1"/>
  <c r="M395" i="1" s="1"/>
  <c r="N395" i="1" a="1"/>
  <c r="N395" i="1"/>
  <c r="L396" i="1"/>
  <c r="M396" i="1" a="1"/>
  <c r="M396" i="1" s="1"/>
  <c r="N396" i="1" a="1"/>
  <c r="N396" i="1" s="1"/>
  <c r="L397" i="1"/>
  <c r="M397" i="1" a="1"/>
  <c r="M397" i="1"/>
  <c r="N397" i="1" a="1"/>
  <c r="N397" i="1" s="1"/>
  <c r="L398" i="1"/>
  <c r="M398" i="1" a="1"/>
  <c r="M398" i="1" s="1"/>
  <c r="N398" i="1" a="1"/>
  <c r="N398" i="1"/>
  <c r="L399" i="1"/>
  <c r="M399" i="1" a="1"/>
  <c r="M399" i="1" s="1"/>
  <c r="N399" i="1" a="1"/>
  <c r="N399" i="1" s="1"/>
  <c r="L400" i="1"/>
  <c r="M400" i="1" a="1"/>
  <c r="M400" i="1"/>
  <c r="N400" i="1" a="1"/>
  <c r="N400" i="1" s="1"/>
  <c r="L401" i="1"/>
  <c r="M401" i="1" a="1"/>
  <c r="M401" i="1" s="1"/>
  <c r="N401" i="1" a="1"/>
  <c r="N401" i="1" s="1"/>
  <c r="L402" i="1"/>
  <c r="M402" i="1" a="1"/>
  <c r="M402" i="1" s="1"/>
  <c r="N402" i="1" a="1"/>
  <c r="N402" i="1" s="1"/>
  <c r="L403" i="1"/>
  <c r="M403" i="1" a="1"/>
  <c r="M403" i="1" s="1"/>
  <c r="N403" i="1" a="1"/>
  <c r="N403" i="1" s="1"/>
  <c r="L404" i="1"/>
  <c r="M404" i="1" a="1"/>
  <c r="M404" i="1" s="1"/>
  <c r="N404" i="1" a="1"/>
  <c r="N404" i="1" s="1"/>
  <c r="L405" i="1"/>
  <c r="M405" i="1" a="1"/>
  <c r="M405" i="1" s="1"/>
  <c r="N405" i="1" a="1"/>
  <c r="N405" i="1"/>
  <c r="L406" i="1"/>
  <c r="M406" i="1" a="1"/>
  <c r="M406" i="1" s="1"/>
  <c r="N406" i="1" a="1"/>
  <c r="N406" i="1" s="1"/>
  <c r="L407" i="1"/>
  <c r="M407" i="1" a="1"/>
  <c r="M407" i="1"/>
  <c r="N407" i="1" a="1"/>
  <c r="N407" i="1" s="1"/>
  <c r="L408" i="1"/>
  <c r="M408" i="1" a="1"/>
  <c r="M408" i="1"/>
  <c r="N408" i="1" a="1"/>
  <c r="N408" i="1" s="1"/>
  <c r="L409" i="1"/>
  <c r="M409" i="1" a="1"/>
  <c r="M409" i="1"/>
  <c r="N409" i="1" a="1"/>
  <c r="N409" i="1" s="1"/>
  <c r="L410" i="1"/>
  <c r="M410" i="1" a="1"/>
  <c r="M410" i="1" s="1"/>
  <c r="N410" i="1" a="1"/>
  <c r="N410" i="1" s="1"/>
  <c r="L411" i="1"/>
  <c r="M411" i="1" a="1"/>
  <c r="M411" i="1" s="1"/>
  <c r="N411" i="1" a="1"/>
  <c r="N411" i="1"/>
  <c r="L412" i="1"/>
  <c r="M412" i="1" a="1"/>
  <c r="M412" i="1" s="1"/>
  <c r="N412" i="1" a="1"/>
  <c r="N412" i="1" s="1"/>
  <c r="L413" i="1"/>
  <c r="M413" i="1" a="1"/>
  <c r="M413" i="1" s="1"/>
  <c r="N413" i="1" a="1"/>
  <c r="N413" i="1" s="1"/>
  <c r="L414" i="1"/>
  <c r="M414" i="1" a="1"/>
  <c r="M414" i="1" s="1"/>
  <c r="N414" i="1" a="1"/>
  <c r="N414" i="1"/>
  <c r="L415" i="1"/>
  <c r="M415" i="1" a="1"/>
  <c r="M415" i="1" s="1"/>
  <c r="N415" i="1" a="1"/>
  <c r="N415" i="1" s="1"/>
  <c r="L416" i="1"/>
  <c r="M416" i="1" a="1"/>
  <c r="M416" i="1"/>
  <c r="N416" i="1" a="1"/>
  <c r="N416" i="1" s="1"/>
  <c r="L417" i="1"/>
  <c r="M417" i="1" a="1"/>
  <c r="M417" i="1" s="1"/>
  <c r="N417" i="1" a="1"/>
  <c r="N417" i="1" s="1"/>
  <c r="L418" i="1"/>
  <c r="M418" i="1" a="1"/>
  <c r="M418" i="1" s="1"/>
  <c r="N418" i="1" a="1"/>
  <c r="N418" i="1" s="1"/>
  <c r="L419" i="1"/>
  <c r="M419" i="1" a="1"/>
  <c r="M419" i="1" s="1"/>
  <c r="N419" i="1" a="1"/>
  <c r="N419" i="1" s="1"/>
  <c r="L420" i="1"/>
  <c r="M420" i="1" a="1"/>
  <c r="M420" i="1" s="1"/>
  <c r="N420" i="1" a="1"/>
  <c r="N420" i="1" s="1"/>
  <c r="L421" i="1"/>
  <c r="M421" i="1" a="1"/>
  <c r="M421" i="1"/>
  <c r="N421" i="1" a="1"/>
  <c r="N421" i="1" s="1"/>
  <c r="L422" i="1"/>
  <c r="M422" i="1" a="1"/>
  <c r="M422" i="1" s="1"/>
  <c r="N422" i="1" a="1"/>
  <c r="N422" i="1"/>
  <c r="L423" i="1"/>
  <c r="M423" i="1" a="1"/>
  <c r="M423" i="1"/>
  <c r="N423" i="1" a="1"/>
  <c r="N423" i="1" s="1"/>
  <c r="L424" i="1"/>
  <c r="M424" i="1" a="1"/>
  <c r="M424" i="1" s="1"/>
  <c r="N424" i="1" a="1"/>
  <c r="N424" i="1"/>
  <c r="L425" i="1"/>
  <c r="M425" i="1" a="1"/>
  <c r="M425" i="1" s="1"/>
  <c r="N425" i="1" a="1"/>
  <c r="N425" i="1"/>
  <c r="L426" i="1"/>
  <c r="M426" i="1" a="1"/>
  <c r="M426" i="1" s="1"/>
  <c r="N426" i="1" a="1"/>
  <c r="N426" i="1"/>
  <c r="L427" i="1"/>
  <c r="M427" i="1" a="1"/>
  <c r="M427" i="1" s="1"/>
  <c r="N427" i="1" a="1"/>
  <c r="N427" i="1" s="1"/>
  <c r="L428" i="1"/>
  <c r="M428" i="1" a="1"/>
  <c r="M428" i="1" s="1"/>
  <c r="N428" i="1" a="1"/>
  <c r="N428" i="1"/>
  <c r="L429" i="1"/>
  <c r="M429" i="1" a="1"/>
  <c r="M429" i="1" s="1"/>
  <c r="N429" i="1" a="1"/>
  <c r="N429" i="1"/>
  <c r="L430" i="1"/>
  <c r="M430" i="1" a="1"/>
  <c r="M430" i="1" s="1"/>
  <c r="N430" i="1" a="1"/>
  <c r="N430" i="1" s="1"/>
  <c r="L431" i="1"/>
  <c r="M431" i="1" a="1"/>
  <c r="M431" i="1" s="1"/>
  <c r="N431" i="1" a="1"/>
  <c r="N431" i="1" s="1"/>
  <c r="L432" i="1"/>
  <c r="M432" i="1" a="1"/>
  <c r="M432" i="1"/>
  <c r="N432" i="1" a="1"/>
  <c r="N432" i="1" s="1"/>
  <c r="L433" i="1"/>
  <c r="M433" i="1" a="1"/>
  <c r="M433" i="1" s="1"/>
  <c r="N433" i="1" a="1"/>
  <c r="N433" i="1" s="1"/>
  <c r="L434" i="1"/>
  <c r="M434" i="1" a="1"/>
  <c r="M434" i="1" s="1"/>
  <c r="N434" i="1" a="1"/>
  <c r="N434" i="1"/>
  <c r="L435" i="1"/>
  <c r="M435" i="1" a="1"/>
  <c r="M435" i="1" s="1"/>
  <c r="N435" i="1" a="1"/>
  <c r="N435" i="1" s="1"/>
  <c r="L436" i="1"/>
  <c r="M436" i="1" a="1"/>
  <c r="M436" i="1" s="1"/>
  <c r="N436" i="1" a="1"/>
  <c r="N436" i="1" s="1"/>
  <c r="L437" i="1"/>
  <c r="M437" i="1" a="1"/>
  <c r="M437" i="1" s="1"/>
  <c r="N437" i="1" a="1"/>
  <c r="N437" i="1" s="1"/>
  <c r="L438" i="1"/>
  <c r="M438" i="1" a="1"/>
  <c r="M438" i="1"/>
  <c r="N438" i="1" a="1"/>
  <c r="N438" i="1" s="1"/>
  <c r="L439" i="1"/>
  <c r="M439" i="1" a="1"/>
  <c r="M439" i="1" s="1"/>
  <c r="N439" i="1" a="1"/>
  <c r="N439" i="1"/>
  <c r="L440" i="1"/>
  <c r="M440" i="1" a="1"/>
  <c r="M440" i="1" s="1"/>
  <c r="N440" i="1" a="1"/>
  <c r="N440" i="1" s="1"/>
  <c r="L441" i="1"/>
  <c r="M441" i="1" a="1"/>
  <c r="M441" i="1" s="1"/>
  <c r="N441" i="1" a="1"/>
  <c r="N441" i="1" s="1"/>
  <c r="L442" i="1"/>
  <c r="M442" i="1" a="1"/>
  <c r="M442" i="1" s="1"/>
  <c r="N442" i="1" a="1"/>
  <c r="N442" i="1" s="1"/>
  <c r="L443" i="1"/>
  <c r="M443" i="1" a="1"/>
  <c r="M443" i="1" s="1"/>
  <c r="N443" i="1" a="1"/>
  <c r="N443" i="1"/>
  <c r="L444" i="1"/>
  <c r="M444" i="1" a="1"/>
  <c r="M444" i="1"/>
  <c r="N444" i="1" a="1"/>
  <c r="N444" i="1" s="1"/>
  <c r="L445" i="1"/>
  <c r="M445" i="1" a="1"/>
  <c r="M445" i="1" s="1"/>
  <c r="N445" i="1" a="1"/>
  <c r="N445" i="1"/>
  <c r="L446" i="1"/>
  <c r="M446" i="1" a="1"/>
  <c r="M446" i="1" s="1"/>
  <c r="N446" i="1" a="1"/>
  <c r="N446" i="1" s="1"/>
  <c r="L447" i="1"/>
  <c r="M447" i="1" a="1"/>
  <c r="M447" i="1" s="1"/>
  <c r="N447" i="1" a="1"/>
  <c r="N447" i="1" s="1"/>
  <c r="L448" i="1"/>
  <c r="M448" i="1" a="1"/>
  <c r="M448" i="1" s="1"/>
  <c r="N448" i="1" a="1"/>
  <c r="N448" i="1" s="1"/>
  <c r="L449" i="1"/>
  <c r="M449" i="1" a="1"/>
  <c r="M449" i="1" s="1"/>
  <c r="N449" i="1" a="1"/>
  <c r="N449" i="1" s="1"/>
  <c r="L450" i="1"/>
  <c r="M450" i="1" a="1"/>
  <c r="M450" i="1" s="1"/>
  <c r="N450" i="1" a="1"/>
  <c r="N450" i="1" s="1"/>
  <c r="L451" i="1"/>
  <c r="M451" i="1" a="1"/>
  <c r="M451" i="1" s="1"/>
  <c r="N451" i="1" a="1"/>
  <c r="N451" i="1" s="1"/>
  <c r="L452" i="1"/>
  <c r="M452" i="1" a="1"/>
  <c r="M452" i="1" s="1"/>
  <c r="N452" i="1" a="1"/>
  <c r="N452" i="1" s="1"/>
  <c r="L453" i="1"/>
  <c r="M453" i="1" a="1"/>
  <c r="M453" i="1" s="1"/>
  <c r="N453" i="1" a="1"/>
  <c r="N453" i="1"/>
  <c r="L454" i="1"/>
  <c r="M454" i="1" a="1"/>
  <c r="M454" i="1" s="1"/>
  <c r="N454" i="1" a="1"/>
  <c r="N454" i="1" s="1"/>
  <c r="L455" i="1"/>
  <c r="M455" i="1" a="1"/>
  <c r="M455" i="1"/>
  <c r="N455" i="1" a="1"/>
  <c r="N455" i="1" s="1"/>
  <c r="L456" i="1"/>
  <c r="M456" i="1" a="1"/>
  <c r="M456" i="1" s="1"/>
  <c r="N456" i="1" a="1"/>
  <c r="N456" i="1" s="1"/>
  <c r="L457" i="1"/>
  <c r="M457" i="1" a="1"/>
  <c r="M457" i="1" s="1"/>
  <c r="N457" i="1" a="1"/>
  <c r="N457" i="1"/>
  <c r="L458" i="1"/>
  <c r="M458" i="1" a="1"/>
  <c r="M458" i="1" s="1"/>
  <c r="N458" i="1" a="1"/>
  <c r="N458" i="1" s="1"/>
  <c r="L459" i="1"/>
  <c r="M459" i="1" a="1"/>
  <c r="M459" i="1" s="1"/>
  <c r="N459" i="1" a="1"/>
  <c r="N459" i="1" s="1"/>
  <c r="L460" i="1"/>
  <c r="M460" i="1" a="1"/>
  <c r="M460" i="1" s="1"/>
  <c r="N460" i="1" a="1"/>
  <c r="N460" i="1"/>
  <c r="L461" i="1"/>
  <c r="M461" i="1" a="1"/>
  <c r="M461" i="1" s="1"/>
  <c r="N461" i="1" a="1"/>
  <c r="N461" i="1"/>
  <c r="L462" i="1"/>
  <c r="M462" i="1" a="1"/>
  <c r="M462" i="1" s="1"/>
  <c r="N462" i="1" a="1"/>
  <c r="N462" i="1" s="1"/>
  <c r="L463" i="1"/>
  <c r="M463" i="1" a="1"/>
  <c r="M463" i="1" s="1"/>
  <c r="N463" i="1" a="1"/>
  <c r="N463" i="1" s="1"/>
  <c r="L464" i="1"/>
  <c r="M464" i="1" a="1"/>
  <c r="M464" i="1" s="1"/>
  <c r="N464" i="1" a="1"/>
  <c r="N464" i="1" s="1"/>
  <c r="L465" i="1"/>
  <c r="M465" i="1" a="1"/>
  <c r="M465" i="1"/>
  <c r="N465" i="1" a="1"/>
  <c r="N465" i="1"/>
  <c r="L466" i="1"/>
  <c r="M466" i="1" a="1"/>
  <c r="M466" i="1" s="1"/>
  <c r="N466" i="1" a="1"/>
  <c r="N466" i="1" s="1"/>
  <c r="L467" i="1"/>
  <c r="M467" i="1" a="1"/>
  <c r="M467" i="1" s="1"/>
  <c r="N467" i="1" a="1"/>
  <c r="N467" i="1" s="1"/>
  <c r="L468" i="1"/>
  <c r="M468" i="1" a="1"/>
  <c r="M468" i="1" s="1"/>
  <c r="N468" i="1" a="1"/>
  <c r="N468" i="1" s="1"/>
  <c r="L469" i="1"/>
  <c r="M469" i="1" a="1"/>
  <c r="M469" i="1" s="1"/>
  <c r="N469" i="1" a="1"/>
  <c r="N469" i="1" s="1"/>
  <c r="L470" i="1"/>
  <c r="M470" i="1" a="1"/>
  <c r="M470" i="1" s="1"/>
  <c r="N470" i="1" a="1"/>
  <c r="N470" i="1" s="1"/>
  <c r="L471" i="1"/>
  <c r="M471" i="1" a="1"/>
  <c r="M471" i="1" s="1"/>
  <c r="N471" i="1" a="1"/>
  <c r="N471" i="1" s="1"/>
  <c r="L472" i="1"/>
  <c r="M472" i="1" a="1"/>
  <c r="M472" i="1" s="1"/>
  <c r="N472" i="1" a="1"/>
  <c r="N472" i="1" s="1"/>
  <c r="L473" i="1"/>
  <c r="M473" i="1" a="1"/>
  <c r="M473" i="1"/>
  <c r="N473" i="1" a="1"/>
  <c r="N473" i="1" s="1"/>
  <c r="L474" i="1"/>
  <c r="M474" i="1" a="1"/>
  <c r="M474" i="1" s="1"/>
  <c r="N474" i="1" a="1"/>
  <c r="N474" i="1" s="1"/>
  <c r="L475" i="1"/>
  <c r="M475" i="1" a="1"/>
  <c r="M475" i="1"/>
  <c r="N475" i="1" a="1"/>
  <c r="N475" i="1" s="1"/>
  <c r="L476" i="1"/>
  <c r="M476" i="1" a="1"/>
  <c r="M476" i="1" s="1"/>
  <c r="N476" i="1" a="1"/>
  <c r="N476" i="1" s="1"/>
  <c r="L477" i="1"/>
  <c r="M477" i="1" a="1"/>
  <c r="M477" i="1" s="1"/>
  <c r="N477" i="1" a="1"/>
  <c r="N477" i="1" s="1"/>
  <c r="L478" i="1"/>
  <c r="M478" i="1" a="1"/>
  <c r="M478" i="1" s="1"/>
  <c r="N478" i="1" a="1"/>
  <c r="N478" i="1" s="1"/>
  <c r="L479" i="1"/>
  <c r="M479" i="1" a="1"/>
  <c r="M479" i="1" s="1"/>
  <c r="N479" i="1" a="1"/>
  <c r="N479" i="1" s="1"/>
  <c r="L480" i="1"/>
  <c r="M480" i="1" a="1"/>
  <c r="M480" i="1" s="1"/>
  <c r="N480" i="1" a="1"/>
  <c r="N480" i="1" s="1"/>
  <c r="L481" i="1"/>
  <c r="M481" i="1" a="1"/>
  <c r="M481" i="1" s="1"/>
  <c r="N481" i="1" a="1"/>
  <c r="N481" i="1"/>
  <c r="L482" i="1"/>
  <c r="M482" i="1" a="1"/>
  <c r="M482" i="1"/>
  <c r="N482" i="1" a="1"/>
  <c r="N482" i="1" s="1"/>
  <c r="L483" i="1"/>
  <c r="M483" i="1" a="1"/>
  <c r="M483" i="1"/>
  <c r="N483" i="1" a="1"/>
  <c r="N483" i="1" s="1"/>
  <c r="L484" i="1"/>
  <c r="M484" i="1" a="1"/>
  <c r="M484" i="1" s="1"/>
  <c r="N484" i="1" a="1"/>
  <c r="N484" i="1" s="1"/>
  <c r="L485" i="1"/>
  <c r="M485" i="1" a="1"/>
  <c r="M485" i="1"/>
  <c r="N485" i="1" a="1"/>
  <c r="N485" i="1" s="1"/>
  <c r="L486" i="1"/>
  <c r="M486" i="1" a="1"/>
  <c r="M486" i="1"/>
  <c r="N486" i="1" a="1"/>
  <c r="N486" i="1" s="1"/>
  <c r="L487" i="1"/>
  <c r="M487" i="1" a="1"/>
  <c r="M487" i="1"/>
  <c r="N487" i="1" a="1"/>
  <c r="N487" i="1" s="1"/>
  <c r="L488" i="1"/>
  <c r="M488" i="1" a="1"/>
  <c r="M488" i="1"/>
  <c r="N488" i="1" a="1"/>
  <c r="N488" i="1" s="1"/>
  <c r="L489" i="1"/>
  <c r="M489" i="1" a="1"/>
  <c r="M489" i="1" s="1"/>
  <c r="N489" i="1" a="1"/>
  <c r="N489" i="1" s="1"/>
  <c r="L490" i="1"/>
  <c r="M490" i="1" a="1"/>
  <c r="M490" i="1" s="1"/>
  <c r="N490" i="1" a="1"/>
  <c r="N490" i="1" s="1"/>
  <c r="L491" i="1"/>
  <c r="M491" i="1" a="1"/>
  <c r="M491" i="1" s="1"/>
  <c r="N491" i="1" a="1"/>
  <c r="N491" i="1" s="1"/>
  <c r="L492" i="1"/>
  <c r="M492" i="1" a="1"/>
  <c r="M492" i="1" s="1"/>
  <c r="N492" i="1" a="1"/>
  <c r="N492" i="1" s="1"/>
  <c r="L493" i="1"/>
  <c r="M493" i="1" a="1"/>
  <c r="M493" i="1" s="1"/>
  <c r="N493" i="1" a="1"/>
  <c r="N493" i="1" s="1"/>
  <c r="L494" i="1"/>
  <c r="M494" i="1" a="1"/>
  <c r="M494" i="1" s="1"/>
  <c r="N494" i="1" a="1"/>
  <c r="N494" i="1" s="1"/>
  <c r="L495" i="1"/>
  <c r="M495" i="1" a="1"/>
  <c r="M495" i="1"/>
  <c r="N495" i="1" a="1"/>
  <c r="N495" i="1" s="1"/>
  <c r="L496" i="1"/>
  <c r="M496" i="1" a="1"/>
  <c r="M496" i="1" s="1"/>
  <c r="N496" i="1" a="1"/>
  <c r="N496" i="1" s="1"/>
  <c r="L497" i="1"/>
  <c r="M497" i="1" a="1"/>
  <c r="M497" i="1"/>
  <c r="N497" i="1" a="1"/>
  <c r="N497" i="1" s="1"/>
  <c r="L498" i="1"/>
  <c r="M498" i="1" a="1"/>
  <c r="M498" i="1" s="1"/>
  <c r="N498" i="1" a="1"/>
  <c r="N498" i="1" s="1"/>
  <c r="L499" i="1"/>
  <c r="M499" i="1" a="1"/>
  <c r="M499" i="1"/>
  <c r="N499" i="1" a="1"/>
  <c r="N499" i="1" s="1"/>
  <c r="L500" i="1"/>
  <c r="M500" i="1" a="1"/>
  <c r="M500" i="1"/>
  <c r="N500" i="1" a="1"/>
  <c r="N500" i="1"/>
  <c r="L501" i="1"/>
  <c r="M501" i="1" a="1"/>
  <c r="M501" i="1" s="1"/>
  <c r="N501" i="1" a="1"/>
  <c r="N501" i="1" s="1"/>
  <c r="L502" i="1"/>
  <c r="M502" i="1" a="1"/>
  <c r="M502" i="1"/>
  <c r="N502" i="1" a="1"/>
  <c r="N502" i="1"/>
  <c r="L503" i="1"/>
  <c r="M503" i="1" a="1"/>
  <c r="M503" i="1" s="1"/>
  <c r="N503" i="1" a="1"/>
  <c r="N503" i="1" s="1"/>
  <c r="L504" i="1"/>
  <c r="M504" i="1" a="1"/>
  <c r="M504" i="1"/>
  <c r="N504" i="1" a="1"/>
  <c r="N504" i="1" s="1"/>
  <c r="L505" i="1"/>
  <c r="M505" i="1" a="1"/>
  <c r="M505" i="1"/>
  <c r="N505" i="1" a="1"/>
  <c r="N505" i="1" s="1"/>
  <c r="L506" i="1"/>
  <c r="M506" i="1" a="1"/>
  <c r="M506" i="1" s="1"/>
  <c r="N506" i="1" a="1"/>
  <c r="N506" i="1"/>
  <c r="L507" i="1"/>
  <c r="M507" i="1" a="1"/>
  <c r="M507" i="1" s="1"/>
  <c r="N507" i="1" a="1"/>
  <c r="N507" i="1" s="1"/>
  <c r="L508" i="1"/>
  <c r="M508" i="1" a="1"/>
  <c r="M508" i="1" s="1"/>
  <c r="N508" i="1" a="1"/>
  <c r="N508" i="1"/>
  <c r="L509" i="1"/>
  <c r="M509" i="1" a="1"/>
  <c r="M509" i="1" s="1"/>
  <c r="N509" i="1" a="1"/>
  <c r="N509" i="1" s="1"/>
  <c r="L510" i="1"/>
  <c r="M510" i="1" a="1"/>
  <c r="M510" i="1"/>
  <c r="N510" i="1" a="1"/>
  <c r="N510" i="1"/>
  <c r="L511" i="1"/>
  <c r="M511" i="1" a="1"/>
  <c r="M511" i="1" s="1"/>
  <c r="N511" i="1" a="1"/>
  <c r="N511" i="1" s="1"/>
  <c r="L512" i="1"/>
  <c r="M512" i="1" a="1"/>
  <c r="M512" i="1"/>
  <c r="N512" i="1" a="1"/>
  <c r="N512" i="1" s="1"/>
  <c r="L513" i="1"/>
  <c r="M513" i="1" a="1"/>
  <c r="M513" i="1" s="1"/>
  <c r="N513" i="1" a="1"/>
  <c r="N513" i="1" s="1"/>
  <c r="L514" i="1"/>
  <c r="M514" i="1" a="1"/>
  <c r="M514" i="1"/>
  <c r="N514" i="1" a="1"/>
  <c r="N514" i="1" s="1"/>
  <c r="L515" i="1"/>
  <c r="M515" i="1" a="1"/>
  <c r="M515" i="1" s="1"/>
  <c r="N515" i="1" a="1"/>
  <c r="N515" i="1"/>
  <c r="L516" i="1"/>
  <c r="M516" i="1" a="1"/>
  <c r="M516" i="1" s="1"/>
  <c r="N516" i="1" a="1"/>
  <c r="N516" i="1"/>
  <c r="L517" i="1"/>
  <c r="M517" i="1" a="1"/>
  <c r="M517" i="1" s="1"/>
  <c r="N517" i="1" a="1"/>
  <c r="N517" i="1"/>
  <c r="L518" i="1"/>
  <c r="M518" i="1" a="1"/>
  <c r="M518" i="1" s="1"/>
  <c r="N518" i="1" a="1"/>
  <c r="N518" i="1"/>
  <c r="L519" i="1"/>
  <c r="M519" i="1" a="1"/>
  <c r="M519" i="1"/>
  <c r="N519" i="1" a="1"/>
  <c r="N519" i="1" s="1"/>
  <c r="L520" i="1"/>
  <c r="M520" i="1" a="1"/>
  <c r="M520" i="1"/>
  <c r="N520" i="1" a="1"/>
  <c r="N520" i="1" s="1"/>
  <c r="L521" i="1"/>
  <c r="M521" i="1" a="1"/>
  <c r="M521" i="1" s="1"/>
  <c r="N521" i="1" a="1"/>
  <c r="N521" i="1" s="1"/>
  <c r="L522" i="1"/>
  <c r="M522" i="1" a="1"/>
  <c r="M522" i="1" s="1"/>
  <c r="N522" i="1" a="1"/>
  <c r="N522" i="1" s="1"/>
  <c r="L523" i="1"/>
  <c r="M523" i="1" a="1"/>
  <c r="M523" i="1" s="1"/>
  <c r="N523" i="1" a="1"/>
  <c r="N523" i="1"/>
  <c r="L524" i="1"/>
  <c r="M524" i="1" a="1"/>
  <c r="M524" i="1" s="1"/>
  <c r="N524" i="1" a="1"/>
  <c r="N524" i="1" s="1"/>
  <c r="L525" i="1"/>
  <c r="M525" i="1" a="1"/>
  <c r="M525" i="1"/>
  <c r="N525" i="1" a="1"/>
  <c r="N525" i="1"/>
  <c r="L526" i="1"/>
  <c r="M526" i="1" a="1"/>
  <c r="M526" i="1" s="1"/>
  <c r="N526" i="1" a="1"/>
  <c r="N526" i="1"/>
  <c r="L527" i="1"/>
  <c r="M527" i="1" a="1"/>
  <c r="M527" i="1"/>
  <c r="N527" i="1" a="1"/>
  <c r="N527" i="1" s="1"/>
  <c r="L528" i="1"/>
  <c r="M528" i="1" a="1"/>
  <c r="M528" i="1"/>
  <c r="N528" i="1" a="1"/>
  <c r="N528" i="1"/>
  <c r="L529" i="1"/>
  <c r="M529" i="1" a="1"/>
  <c r="M529" i="1" s="1"/>
  <c r="N529" i="1" a="1"/>
  <c r="N529" i="1"/>
  <c r="L530" i="1"/>
  <c r="M530" i="1" a="1"/>
  <c r="M530" i="1" s="1"/>
  <c r="N530" i="1" a="1"/>
  <c r="N530" i="1" s="1"/>
  <c r="L531" i="1"/>
  <c r="M531" i="1" a="1"/>
  <c r="M531" i="1" s="1"/>
  <c r="N531" i="1" a="1"/>
  <c r="N531" i="1"/>
  <c r="L532" i="1"/>
  <c r="M532" i="1" a="1"/>
  <c r="M532" i="1" s="1"/>
  <c r="N532" i="1" a="1"/>
  <c r="N532" i="1" s="1"/>
  <c r="L533" i="1"/>
  <c r="M533" i="1" a="1"/>
  <c r="M533" i="1" s="1"/>
  <c r="N533" i="1" a="1"/>
  <c r="N533" i="1" s="1"/>
  <c r="L534" i="1"/>
  <c r="M534" i="1" a="1"/>
  <c r="M534" i="1" s="1"/>
  <c r="N534" i="1" a="1"/>
  <c r="N534" i="1"/>
  <c r="L535" i="1"/>
  <c r="M535" i="1" a="1"/>
  <c r="M535" i="1" s="1"/>
  <c r="N535" i="1" a="1"/>
  <c r="N535" i="1" s="1"/>
  <c r="L536" i="1"/>
  <c r="M536" i="1" a="1"/>
  <c r="M536" i="1"/>
  <c r="N536" i="1" a="1"/>
  <c r="N536" i="1" s="1"/>
  <c r="L537" i="1"/>
  <c r="M537" i="1" a="1"/>
  <c r="M537" i="1" s="1"/>
  <c r="N537" i="1" a="1"/>
  <c r="N537" i="1" s="1"/>
  <c r="L538" i="1"/>
  <c r="M538" i="1" a="1"/>
  <c r="M538" i="1" s="1"/>
  <c r="N538" i="1" a="1"/>
  <c r="N538" i="1"/>
  <c r="L539" i="1"/>
  <c r="M539" i="1" a="1"/>
  <c r="M539" i="1" s="1"/>
  <c r="N539" i="1" a="1"/>
  <c r="N539" i="1"/>
  <c r="L540" i="1"/>
  <c r="M540" i="1" a="1"/>
  <c r="M540" i="1"/>
  <c r="N540" i="1" a="1"/>
  <c r="N540" i="1" s="1"/>
  <c r="L541" i="1"/>
  <c r="M541" i="1" a="1"/>
  <c r="M541" i="1"/>
  <c r="N541" i="1" a="1"/>
  <c r="N541" i="1" s="1"/>
  <c r="L542" i="1"/>
  <c r="M542" i="1" a="1"/>
  <c r="M542" i="1"/>
  <c r="N542" i="1" a="1"/>
  <c r="N542" i="1" s="1"/>
  <c r="L543" i="1"/>
  <c r="M543" i="1" a="1"/>
  <c r="M543" i="1" s="1"/>
  <c r="N543" i="1" a="1"/>
  <c r="N543" i="1" s="1"/>
  <c r="L544" i="1"/>
  <c r="M544" i="1" a="1"/>
  <c r="M544" i="1" s="1"/>
  <c r="N544" i="1" a="1"/>
  <c r="N544" i="1" s="1"/>
  <c r="L545" i="1"/>
  <c r="M545" i="1" a="1"/>
  <c r="M545" i="1" s="1"/>
  <c r="N545" i="1" a="1"/>
  <c r="N545" i="1"/>
  <c r="L546" i="1"/>
  <c r="M546" i="1" a="1"/>
  <c r="M546" i="1" s="1"/>
  <c r="N546" i="1" a="1"/>
  <c r="N546" i="1"/>
  <c r="L547" i="1"/>
  <c r="M547" i="1" a="1"/>
  <c r="M547" i="1" s="1"/>
  <c r="N547" i="1" a="1"/>
  <c r="N547" i="1" s="1"/>
  <c r="L548" i="1"/>
  <c r="M548" i="1" a="1"/>
  <c r="M548" i="1"/>
  <c r="N548" i="1" a="1"/>
  <c r="N548" i="1" s="1"/>
  <c r="L549" i="1"/>
  <c r="M549" i="1" a="1"/>
  <c r="M549" i="1"/>
  <c r="N549" i="1" a="1"/>
  <c r="N549" i="1" s="1"/>
  <c r="L550" i="1"/>
  <c r="M550" i="1" a="1"/>
  <c r="M550" i="1" s="1"/>
  <c r="N550" i="1" a="1"/>
  <c r="N550" i="1" s="1"/>
  <c r="L551" i="1"/>
  <c r="M551" i="1" a="1"/>
  <c r="M551" i="1" s="1"/>
  <c r="N551" i="1" a="1"/>
  <c r="N551" i="1" s="1"/>
  <c r="L552" i="1"/>
  <c r="M552" i="1" a="1"/>
  <c r="M552" i="1" s="1"/>
  <c r="N552" i="1" a="1"/>
  <c r="N552" i="1" s="1"/>
  <c r="L553" i="1"/>
  <c r="M553" i="1" a="1"/>
  <c r="M553" i="1" s="1"/>
  <c r="N553" i="1" a="1"/>
  <c r="N553" i="1"/>
  <c r="L554" i="1"/>
  <c r="M554" i="1" a="1"/>
  <c r="M554" i="1" s="1"/>
  <c r="N554" i="1" a="1"/>
  <c r="N554" i="1" s="1"/>
  <c r="L555" i="1"/>
  <c r="M555" i="1" a="1"/>
  <c r="M555" i="1"/>
  <c r="N555" i="1" a="1"/>
  <c r="N555" i="1" s="1"/>
  <c r="L556" i="1"/>
  <c r="M556" i="1" a="1"/>
  <c r="M556" i="1" s="1"/>
  <c r="N556" i="1" a="1"/>
  <c r="N556" i="1" s="1"/>
  <c r="L557" i="1"/>
  <c r="M557" i="1" a="1"/>
  <c r="M557" i="1" s="1"/>
  <c r="N557" i="1" a="1"/>
  <c r="N557" i="1" s="1"/>
  <c r="L558" i="1"/>
  <c r="M558" i="1" a="1"/>
  <c r="M558" i="1" s="1"/>
  <c r="N558" i="1" a="1"/>
  <c r="N558" i="1" s="1"/>
  <c r="L559" i="1"/>
  <c r="M559" i="1" a="1"/>
  <c r="M559" i="1" s="1"/>
  <c r="N559" i="1" a="1"/>
  <c r="N559" i="1" s="1"/>
  <c r="L560" i="1"/>
  <c r="M560" i="1" a="1"/>
  <c r="M560" i="1" s="1"/>
  <c r="N560" i="1" a="1"/>
  <c r="N560" i="1" s="1"/>
  <c r="L561" i="1"/>
  <c r="M561" i="1" a="1"/>
  <c r="M561" i="1"/>
  <c r="N561" i="1" a="1"/>
  <c r="N561" i="1" s="1"/>
  <c r="L562" i="1"/>
  <c r="M562" i="1" a="1"/>
  <c r="M562" i="1" s="1"/>
  <c r="N562" i="1" a="1"/>
  <c r="N562" i="1" s="1"/>
  <c r="L563" i="1"/>
  <c r="M563" i="1" a="1"/>
  <c r="M563" i="1" s="1"/>
  <c r="N563" i="1" a="1"/>
  <c r="N563" i="1" s="1"/>
  <c r="L564" i="1"/>
  <c r="M564" i="1" a="1"/>
  <c r="M564" i="1" s="1"/>
  <c r="N564" i="1" a="1"/>
  <c r="N564" i="1" s="1"/>
  <c r="L565" i="1"/>
  <c r="M565" i="1" a="1"/>
  <c r="M565" i="1" s="1"/>
  <c r="N565" i="1" a="1"/>
  <c r="N565" i="1"/>
  <c r="L566" i="1"/>
  <c r="M566" i="1" a="1"/>
  <c r="M566" i="1" s="1"/>
  <c r="N566" i="1" a="1"/>
  <c r="N566" i="1"/>
  <c r="L567" i="1"/>
  <c r="M567" i="1" a="1"/>
  <c r="M567" i="1"/>
  <c r="N567" i="1" a="1"/>
  <c r="N567" i="1"/>
  <c r="L568" i="1"/>
  <c r="M568" i="1" a="1"/>
  <c r="M568" i="1"/>
  <c r="N568" i="1" a="1"/>
  <c r="N568" i="1" s="1"/>
  <c r="L569" i="1"/>
  <c r="M569" i="1" a="1"/>
  <c r="M569" i="1"/>
  <c r="N569" i="1" a="1"/>
  <c r="N569" i="1" s="1"/>
  <c r="L570" i="1"/>
  <c r="M570" i="1" a="1"/>
  <c r="M570" i="1" s="1"/>
  <c r="N570" i="1" a="1"/>
  <c r="N570" i="1" s="1"/>
  <c r="L571" i="1"/>
  <c r="M571" i="1" a="1"/>
  <c r="M571" i="1" s="1"/>
  <c r="N571" i="1" a="1"/>
  <c r="N571" i="1" s="1"/>
  <c r="L572" i="1"/>
  <c r="M572" i="1" a="1"/>
  <c r="M572" i="1" s="1"/>
  <c r="N572" i="1" a="1"/>
  <c r="N572" i="1" s="1"/>
  <c r="L573" i="1"/>
  <c r="M573" i="1" a="1"/>
  <c r="M573" i="1" s="1"/>
  <c r="N573" i="1" a="1"/>
  <c r="N573" i="1" s="1"/>
  <c r="L574" i="1"/>
  <c r="M574" i="1" a="1"/>
  <c r="M574" i="1" s="1"/>
  <c r="N574" i="1" a="1"/>
  <c r="N574" i="1" s="1"/>
  <c r="L575" i="1"/>
  <c r="M575" i="1" a="1"/>
  <c r="M575" i="1" s="1"/>
  <c r="N575" i="1" a="1"/>
  <c r="N575" i="1"/>
  <c r="L576" i="1"/>
  <c r="M576" i="1" a="1"/>
  <c r="M576" i="1" s="1"/>
  <c r="N576" i="1" a="1"/>
  <c r="N576" i="1" s="1"/>
  <c r="L577" i="1"/>
  <c r="M577" i="1" a="1"/>
  <c r="M577" i="1" s="1"/>
  <c r="N577" i="1" a="1"/>
  <c r="N577" i="1" s="1"/>
  <c r="L578" i="1"/>
  <c r="M578" i="1" a="1"/>
  <c r="M578" i="1" s="1"/>
  <c r="N578" i="1" a="1"/>
  <c r="N578" i="1" s="1"/>
  <c r="L579" i="1"/>
  <c r="M579" i="1" a="1"/>
  <c r="M579" i="1" s="1"/>
  <c r="N579" i="1" a="1"/>
  <c r="N579" i="1" s="1"/>
  <c r="L580" i="1"/>
  <c r="M580" i="1" a="1"/>
  <c r="M580" i="1"/>
  <c r="N580" i="1" a="1"/>
  <c r="N580" i="1" s="1"/>
  <c r="L581" i="1"/>
  <c r="M581" i="1" a="1"/>
  <c r="M581" i="1" s="1"/>
  <c r="N581" i="1" a="1"/>
  <c r="N581" i="1" s="1"/>
  <c r="L582" i="1"/>
  <c r="M582" i="1" a="1"/>
  <c r="M582" i="1" s="1"/>
  <c r="N582" i="1" a="1"/>
  <c r="N582" i="1"/>
  <c r="L583" i="1"/>
  <c r="M583" i="1" a="1"/>
  <c r="M583" i="1" s="1"/>
  <c r="N583" i="1" a="1"/>
  <c r="N583" i="1" s="1"/>
  <c r="L584" i="1"/>
  <c r="M584" i="1" a="1"/>
  <c r="M584" i="1" s="1"/>
  <c r="N584" i="1" a="1"/>
  <c r="N584" i="1"/>
  <c r="L585" i="1"/>
  <c r="M585" i="1" a="1"/>
  <c r="M585" i="1" s="1"/>
  <c r="N585" i="1" a="1"/>
  <c r="N585" i="1"/>
  <c r="L586" i="1"/>
  <c r="M586" i="1" a="1"/>
  <c r="M586" i="1" s="1"/>
  <c r="N586" i="1" a="1"/>
  <c r="N586" i="1" s="1"/>
  <c r="L587" i="1"/>
  <c r="M587" i="1" a="1"/>
  <c r="M587" i="1" s="1"/>
  <c r="N587" i="1" a="1"/>
  <c r="N587" i="1"/>
  <c r="L588" i="1"/>
  <c r="M588" i="1" a="1"/>
  <c r="M588" i="1" s="1"/>
  <c r="N588" i="1" a="1"/>
  <c r="N588" i="1" s="1"/>
  <c r="L589" i="1"/>
  <c r="M589" i="1" a="1"/>
  <c r="M589" i="1" s="1"/>
  <c r="N589" i="1" a="1"/>
  <c r="N589" i="1" s="1"/>
  <c r="L590" i="1"/>
  <c r="M590" i="1" a="1"/>
  <c r="M590" i="1" s="1"/>
  <c r="N590" i="1" a="1"/>
  <c r="N590" i="1" s="1"/>
  <c r="L591" i="1"/>
  <c r="M591" i="1" a="1"/>
  <c r="M591" i="1" s="1"/>
  <c r="N591" i="1" a="1"/>
  <c r="N591" i="1" s="1"/>
  <c r="L592" i="1"/>
  <c r="M592" i="1" a="1"/>
  <c r="M592" i="1" s="1"/>
  <c r="N592" i="1" a="1"/>
  <c r="N592" i="1" s="1"/>
  <c r="L593" i="1"/>
  <c r="M593" i="1" a="1"/>
  <c r="M593" i="1" s="1"/>
  <c r="N593" i="1" a="1"/>
  <c r="N593" i="1" s="1"/>
  <c r="L594" i="1"/>
  <c r="M594" i="1" a="1"/>
  <c r="M594" i="1" s="1"/>
  <c r="N594" i="1" a="1"/>
  <c r="N594" i="1" s="1"/>
  <c r="L595" i="1"/>
  <c r="M595" i="1" a="1"/>
  <c r="M595" i="1" s="1"/>
  <c r="N595" i="1" a="1"/>
  <c r="N595" i="1" s="1"/>
  <c r="L596" i="1"/>
  <c r="M596" i="1" a="1"/>
  <c r="M596" i="1"/>
  <c r="N596" i="1" a="1"/>
  <c r="N596" i="1" s="1"/>
  <c r="L597" i="1"/>
  <c r="M597" i="1" a="1"/>
  <c r="M597" i="1" s="1"/>
  <c r="N597" i="1" a="1"/>
  <c r="N597" i="1" s="1"/>
  <c r="L598" i="1"/>
  <c r="M598" i="1" a="1"/>
  <c r="M598" i="1"/>
  <c r="N598" i="1" a="1"/>
  <c r="N598" i="1" s="1"/>
  <c r="L599" i="1"/>
  <c r="M599" i="1" a="1"/>
  <c r="M599" i="1"/>
  <c r="N599" i="1" a="1"/>
  <c r="N599" i="1" s="1"/>
  <c r="L600" i="1"/>
  <c r="M600" i="1" a="1"/>
  <c r="M600" i="1"/>
  <c r="N600" i="1" a="1"/>
  <c r="N600" i="1" s="1"/>
  <c r="L601" i="1"/>
  <c r="M601" i="1" a="1"/>
  <c r="M601" i="1" s="1"/>
  <c r="N601" i="1" a="1"/>
  <c r="N601" i="1" s="1"/>
  <c r="L602" i="1"/>
  <c r="M602" i="1" a="1"/>
  <c r="M602" i="1" s="1"/>
  <c r="N602" i="1" a="1"/>
  <c r="N602" i="1" s="1"/>
  <c r="L603" i="1"/>
  <c r="M603" i="1" a="1"/>
  <c r="M603" i="1" s="1"/>
  <c r="N603" i="1" a="1"/>
  <c r="N603" i="1"/>
  <c r="L604" i="1"/>
  <c r="M604" i="1" a="1"/>
  <c r="M604" i="1" s="1"/>
  <c r="N604" i="1" a="1"/>
  <c r="N604" i="1"/>
  <c r="L605" i="1"/>
  <c r="M605" i="1" a="1"/>
  <c r="M605" i="1" s="1"/>
  <c r="N605" i="1" a="1"/>
  <c r="N605" i="1" s="1"/>
  <c r="L606" i="1"/>
  <c r="M606" i="1" a="1"/>
  <c r="M606" i="1" s="1"/>
  <c r="N606" i="1" a="1"/>
  <c r="N606" i="1" s="1"/>
  <c r="L607" i="1"/>
  <c r="M607" i="1" a="1"/>
  <c r="M607" i="1"/>
  <c r="N607" i="1" a="1"/>
  <c r="N607" i="1" s="1"/>
  <c r="L608" i="1"/>
  <c r="M608" i="1" a="1"/>
  <c r="M608" i="1"/>
  <c r="N608" i="1" a="1"/>
  <c r="N608" i="1" s="1"/>
  <c r="L609" i="1"/>
  <c r="M609" i="1" a="1"/>
  <c r="M609" i="1" s="1"/>
  <c r="N609" i="1" a="1"/>
  <c r="N609" i="1" s="1"/>
  <c r="L610" i="1"/>
  <c r="M610" i="1" a="1"/>
  <c r="M610" i="1" s="1"/>
  <c r="N610" i="1" a="1"/>
  <c r="N610" i="1" s="1"/>
  <c r="L611" i="1"/>
  <c r="M611" i="1" a="1"/>
  <c r="M611" i="1" s="1"/>
  <c r="N611" i="1" a="1"/>
  <c r="N611" i="1" s="1"/>
  <c r="L612" i="1"/>
  <c r="M612" i="1" a="1"/>
  <c r="M612" i="1" s="1"/>
  <c r="N612" i="1" a="1"/>
  <c r="N612" i="1" s="1"/>
  <c r="L613" i="1"/>
  <c r="M613" i="1" a="1"/>
  <c r="M613" i="1" s="1"/>
  <c r="N613" i="1" a="1"/>
  <c r="N613" i="1" s="1"/>
  <c r="L614" i="1"/>
  <c r="M614" i="1" a="1"/>
  <c r="M614" i="1" s="1"/>
  <c r="N614" i="1" a="1"/>
  <c r="N614" i="1"/>
  <c r="L615" i="1"/>
  <c r="M615" i="1" a="1"/>
  <c r="M615" i="1" s="1"/>
  <c r="N615" i="1" a="1"/>
  <c r="N615" i="1"/>
  <c r="L616" i="1"/>
  <c r="M616" i="1" a="1"/>
  <c r="M616" i="1"/>
  <c r="N616" i="1" a="1"/>
  <c r="N616" i="1" s="1"/>
  <c r="L617" i="1"/>
  <c r="M617" i="1" a="1"/>
  <c r="M617" i="1" s="1"/>
  <c r="N617" i="1" a="1"/>
  <c r="N617" i="1" s="1"/>
  <c r="L618" i="1"/>
  <c r="M618" i="1" a="1"/>
  <c r="M618" i="1"/>
  <c r="N618" i="1" a="1"/>
  <c r="N618" i="1" s="1"/>
  <c r="L619" i="1"/>
  <c r="M619" i="1" a="1"/>
  <c r="M619" i="1" s="1"/>
  <c r="N619" i="1" a="1"/>
  <c r="N619" i="1"/>
  <c r="L620" i="1"/>
  <c r="M620" i="1" a="1"/>
  <c r="M620" i="1" s="1"/>
  <c r="N620" i="1" a="1"/>
  <c r="N620" i="1"/>
  <c r="L621" i="1"/>
  <c r="M621" i="1" a="1"/>
  <c r="M621" i="1" s="1"/>
  <c r="N621" i="1" a="1"/>
  <c r="N621" i="1" s="1"/>
  <c r="L622" i="1"/>
  <c r="M622" i="1" a="1"/>
  <c r="M622" i="1" s="1"/>
  <c r="N622" i="1" a="1"/>
  <c r="N622" i="1"/>
  <c r="L623" i="1"/>
  <c r="M623" i="1" a="1"/>
  <c r="M623" i="1" s="1"/>
  <c r="N623" i="1" a="1"/>
  <c r="N623" i="1" s="1"/>
  <c r="L624" i="1"/>
  <c r="M624" i="1" a="1"/>
  <c r="M624" i="1"/>
  <c r="N624" i="1" a="1"/>
  <c r="N624" i="1" s="1"/>
  <c r="L625" i="1"/>
  <c r="M625" i="1" a="1"/>
  <c r="M625" i="1" s="1"/>
  <c r="N625" i="1" a="1"/>
  <c r="N625" i="1" s="1"/>
  <c r="L626" i="1"/>
  <c r="M626" i="1" a="1"/>
  <c r="M626" i="1" s="1"/>
  <c r="N626" i="1" a="1"/>
  <c r="N626" i="1" s="1"/>
  <c r="L627" i="1"/>
  <c r="M627" i="1" a="1"/>
  <c r="M627" i="1" s="1"/>
  <c r="N627" i="1" a="1"/>
  <c r="N627" i="1" s="1"/>
  <c r="L628" i="1"/>
  <c r="M628" i="1" a="1"/>
  <c r="M628" i="1" s="1"/>
  <c r="N628" i="1" a="1"/>
  <c r="N628" i="1" s="1"/>
  <c r="L629" i="1"/>
  <c r="M629" i="1" a="1"/>
  <c r="M629" i="1"/>
  <c r="N629" i="1" a="1"/>
  <c r="N629" i="1" s="1"/>
  <c r="L630" i="1"/>
  <c r="M630" i="1" a="1"/>
  <c r="M630" i="1" s="1"/>
  <c r="N630" i="1" a="1"/>
  <c r="N630" i="1" s="1"/>
  <c r="L631" i="1"/>
  <c r="M631" i="1" a="1"/>
  <c r="M631" i="1"/>
  <c r="N631" i="1" a="1"/>
  <c r="N631" i="1" s="1"/>
  <c r="L632" i="1"/>
  <c r="M632" i="1" a="1"/>
  <c r="M632" i="1"/>
  <c r="N632" i="1" a="1"/>
  <c r="N632" i="1" s="1"/>
  <c r="L633" i="1"/>
  <c r="M633" i="1" a="1"/>
  <c r="M633" i="1" s="1"/>
  <c r="N633" i="1" a="1"/>
  <c r="N633" i="1" s="1"/>
  <c r="L634" i="1"/>
  <c r="M634" i="1" a="1"/>
  <c r="M634" i="1"/>
  <c r="N634" i="1" a="1"/>
  <c r="N634" i="1" s="1"/>
  <c r="L635" i="1"/>
  <c r="M635" i="1" a="1"/>
  <c r="M635" i="1" s="1"/>
  <c r="N635" i="1" a="1"/>
  <c r="N635" i="1" s="1"/>
  <c r="L636" i="1"/>
  <c r="M636" i="1" a="1"/>
  <c r="M636" i="1" s="1"/>
  <c r="N636" i="1" a="1"/>
  <c r="N636" i="1" s="1"/>
  <c r="L637" i="1"/>
  <c r="M637" i="1" a="1"/>
  <c r="M637" i="1" s="1"/>
  <c r="N637" i="1" a="1"/>
  <c r="N637" i="1" s="1"/>
  <c r="L638" i="1"/>
  <c r="M638" i="1" a="1"/>
  <c r="M638" i="1" s="1"/>
  <c r="N638" i="1" a="1"/>
  <c r="N638" i="1"/>
  <c r="L639" i="1"/>
  <c r="M639" i="1" a="1"/>
  <c r="M639" i="1" s="1"/>
  <c r="N639" i="1" a="1"/>
  <c r="N639" i="1" s="1"/>
  <c r="L640" i="1"/>
  <c r="M640" i="1" a="1"/>
  <c r="M640" i="1" s="1"/>
  <c r="N640" i="1" a="1"/>
  <c r="N640" i="1" s="1"/>
  <c r="L641" i="1"/>
  <c r="M641" i="1" a="1"/>
  <c r="M641" i="1" s="1"/>
  <c r="N641" i="1" a="1"/>
  <c r="N641" i="1" s="1"/>
  <c r="L642" i="1"/>
  <c r="M642" i="1" a="1"/>
  <c r="M642" i="1" s="1"/>
  <c r="N642" i="1" a="1"/>
  <c r="N642" i="1"/>
  <c r="L643" i="1"/>
  <c r="M643" i="1" a="1"/>
  <c r="M643" i="1"/>
  <c r="N643" i="1" a="1"/>
  <c r="N643" i="1" s="1"/>
  <c r="L644" i="1"/>
  <c r="M644" i="1" a="1"/>
  <c r="M644" i="1" s="1"/>
  <c r="N644" i="1" a="1"/>
  <c r="N644" i="1" s="1"/>
  <c r="L645" i="1"/>
  <c r="M645" i="1" a="1"/>
  <c r="M645" i="1" s="1"/>
  <c r="N645" i="1" a="1"/>
  <c r="N645" i="1" s="1"/>
  <c r="L646" i="1"/>
  <c r="M646" i="1" a="1"/>
  <c r="M646" i="1" s="1"/>
  <c r="N646" i="1" a="1"/>
  <c r="N646" i="1" s="1"/>
  <c r="L647" i="1"/>
  <c r="M647" i="1" a="1"/>
  <c r="M647" i="1" s="1"/>
  <c r="N647" i="1" a="1"/>
  <c r="N647" i="1"/>
  <c r="L648" i="1"/>
  <c r="M648" i="1" a="1"/>
  <c r="M648" i="1" s="1"/>
  <c r="N648" i="1" a="1"/>
  <c r="N648" i="1" s="1"/>
  <c r="L649" i="1"/>
  <c r="M649" i="1" a="1"/>
  <c r="M649" i="1" s="1"/>
  <c r="N649" i="1" a="1"/>
  <c r="N649" i="1"/>
  <c r="L650" i="1"/>
  <c r="M650" i="1" a="1"/>
  <c r="M650" i="1" s="1"/>
  <c r="N650" i="1" a="1"/>
  <c r="N650" i="1" s="1"/>
  <c r="L651" i="1"/>
  <c r="M651" i="1" a="1"/>
  <c r="M651" i="1"/>
  <c r="N651" i="1" a="1"/>
  <c r="N651" i="1"/>
  <c r="L652" i="1"/>
  <c r="M652" i="1" a="1"/>
  <c r="M652" i="1" s="1"/>
  <c r="N652" i="1" a="1"/>
  <c r="N652" i="1" s="1"/>
  <c r="L653" i="1"/>
  <c r="M653" i="1" a="1"/>
  <c r="M653" i="1" s="1"/>
  <c r="N653" i="1" a="1"/>
  <c r="N653" i="1" s="1"/>
  <c r="L654" i="1"/>
  <c r="M654" i="1" a="1"/>
  <c r="M654" i="1" s="1"/>
  <c r="N654" i="1" a="1"/>
  <c r="N654" i="1" s="1"/>
  <c r="L655" i="1"/>
  <c r="M655" i="1" a="1"/>
  <c r="M655" i="1" s="1"/>
  <c r="N655" i="1" a="1"/>
  <c r="N655" i="1"/>
  <c r="L656" i="1"/>
  <c r="M656" i="1" a="1"/>
  <c r="M656" i="1" s="1"/>
  <c r="N656" i="1" a="1"/>
  <c r="N656" i="1" s="1"/>
  <c r="L657" i="1"/>
  <c r="M657" i="1" a="1"/>
  <c r="M657" i="1"/>
  <c r="N657" i="1" a="1"/>
  <c r="N657" i="1"/>
  <c r="L658" i="1"/>
  <c r="M658" i="1" a="1"/>
  <c r="M658" i="1" s="1"/>
  <c r="N658" i="1" a="1"/>
  <c r="N658" i="1" s="1"/>
  <c r="L659" i="1"/>
  <c r="M659" i="1" a="1"/>
  <c r="M659" i="1" s="1"/>
  <c r="N659" i="1" a="1"/>
  <c r="N659" i="1" s="1"/>
  <c r="L660" i="1"/>
  <c r="M660" i="1" a="1"/>
  <c r="M660" i="1" s="1"/>
  <c r="N660" i="1" a="1"/>
  <c r="N660" i="1"/>
  <c r="L661" i="1"/>
  <c r="M661" i="1" a="1"/>
  <c r="M661" i="1" s="1"/>
  <c r="N661" i="1" a="1"/>
  <c r="N661" i="1"/>
  <c r="L662" i="1"/>
  <c r="M662" i="1" a="1"/>
  <c r="M662" i="1"/>
  <c r="N662" i="1" a="1"/>
  <c r="N662" i="1"/>
  <c r="L663" i="1"/>
  <c r="M663" i="1" a="1"/>
  <c r="M663" i="1"/>
  <c r="N663" i="1" a="1"/>
  <c r="N663" i="1"/>
  <c r="L664" i="1"/>
  <c r="M664" i="1" a="1"/>
  <c r="M664" i="1"/>
  <c r="N664" i="1" a="1"/>
  <c r="N664" i="1" s="1"/>
  <c r="L665" i="1"/>
  <c r="M665" i="1" a="1"/>
  <c r="M665" i="1"/>
  <c r="N665" i="1" a="1"/>
  <c r="N665" i="1"/>
  <c r="L666" i="1"/>
  <c r="M666" i="1" a="1"/>
  <c r="M666" i="1" s="1"/>
  <c r="N666" i="1" a="1"/>
  <c r="N666" i="1" s="1"/>
  <c r="L667" i="1"/>
  <c r="M667" i="1" a="1"/>
  <c r="M667" i="1"/>
  <c r="N667" i="1" a="1"/>
  <c r="N667" i="1" s="1"/>
  <c r="L668" i="1"/>
  <c r="M668" i="1" a="1"/>
  <c r="M668" i="1" s="1"/>
  <c r="N668" i="1" a="1"/>
  <c r="N668" i="1" s="1"/>
  <c r="L669" i="1"/>
  <c r="M669" i="1" a="1"/>
  <c r="M669" i="1" s="1"/>
  <c r="N669" i="1" a="1"/>
  <c r="N669" i="1"/>
  <c r="L670" i="1"/>
  <c r="M670" i="1" a="1"/>
  <c r="M670" i="1"/>
  <c r="N670" i="1" a="1"/>
  <c r="N670" i="1" s="1"/>
  <c r="L671" i="1"/>
  <c r="M671" i="1" a="1"/>
  <c r="M671" i="1"/>
  <c r="N671" i="1" a="1"/>
  <c r="N671" i="1"/>
  <c r="L672" i="1"/>
  <c r="M672" i="1" a="1"/>
  <c r="M672" i="1" s="1"/>
  <c r="N672" i="1" a="1"/>
  <c r="N672" i="1" s="1"/>
  <c r="L673" i="1"/>
  <c r="M673" i="1" a="1"/>
  <c r="M673" i="1"/>
  <c r="N673" i="1" a="1"/>
  <c r="N673" i="1"/>
  <c r="L674" i="1"/>
  <c r="M674" i="1" a="1"/>
  <c r="M674" i="1" s="1"/>
  <c r="N674" i="1" a="1"/>
  <c r="N674" i="1" s="1"/>
  <c r="L675" i="1"/>
  <c r="M675" i="1" a="1"/>
  <c r="M675" i="1"/>
  <c r="N675" i="1" a="1"/>
  <c r="N675" i="1" s="1"/>
  <c r="L676" i="1"/>
  <c r="M676" i="1" a="1"/>
  <c r="M676" i="1" s="1"/>
  <c r="N676" i="1" a="1"/>
  <c r="N676" i="1"/>
  <c r="L677" i="1"/>
  <c r="M677" i="1" a="1"/>
  <c r="M677" i="1" s="1"/>
  <c r="N677" i="1" a="1"/>
  <c r="N677" i="1"/>
  <c r="L678" i="1"/>
  <c r="M678" i="1" a="1"/>
  <c r="M678" i="1" s="1"/>
  <c r="N678" i="1" a="1"/>
  <c r="N678" i="1"/>
  <c r="L679" i="1"/>
  <c r="M679" i="1" a="1"/>
  <c r="M679" i="1"/>
  <c r="N679" i="1" a="1"/>
  <c r="N679" i="1" s="1"/>
  <c r="L680" i="1"/>
  <c r="M680" i="1" a="1"/>
  <c r="M680" i="1" s="1"/>
  <c r="N680" i="1" a="1"/>
  <c r="N680" i="1"/>
  <c r="L681" i="1"/>
  <c r="M681" i="1" a="1"/>
  <c r="M681" i="1" s="1"/>
  <c r="N681" i="1" a="1"/>
  <c r="N681" i="1"/>
  <c r="L682" i="1"/>
  <c r="M682" i="1" a="1"/>
  <c r="M682" i="1"/>
  <c r="N682" i="1" a="1"/>
  <c r="N682" i="1"/>
  <c r="L683" i="1"/>
  <c r="M683" i="1" a="1"/>
  <c r="M683" i="1"/>
  <c r="N683" i="1" a="1"/>
  <c r="N683" i="1"/>
  <c r="L684" i="1"/>
  <c r="M684" i="1" a="1"/>
  <c r="M684" i="1"/>
  <c r="N684" i="1" a="1"/>
  <c r="N684" i="1" s="1"/>
  <c r="L685" i="1"/>
  <c r="M685" i="1" a="1"/>
  <c r="M685" i="1" s="1"/>
  <c r="N685" i="1" a="1"/>
  <c r="N685" i="1" s="1"/>
  <c r="L686" i="1"/>
  <c r="M686" i="1" a="1"/>
  <c r="M686" i="1"/>
  <c r="N686" i="1" a="1"/>
  <c r="N686" i="1" s="1"/>
  <c r="L687" i="1"/>
  <c r="M687" i="1" a="1"/>
  <c r="M687" i="1"/>
  <c r="N687" i="1" a="1"/>
  <c r="N687" i="1"/>
  <c r="L688" i="1"/>
  <c r="M688" i="1" a="1"/>
  <c r="M688" i="1" s="1"/>
  <c r="N688" i="1" a="1"/>
  <c r="N688" i="1" s="1"/>
  <c r="L689" i="1"/>
  <c r="M689" i="1" a="1"/>
  <c r="M689" i="1"/>
  <c r="N689" i="1" a="1"/>
  <c r="N689" i="1" s="1"/>
  <c r="L690" i="1"/>
  <c r="M690" i="1" a="1"/>
  <c r="M690" i="1" s="1"/>
  <c r="N690" i="1" a="1"/>
  <c r="N690" i="1"/>
  <c r="L691" i="1"/>
  <c r="M691" i="1" a="1"/>
  <c r="M691" i="1" s="1"/>
  <c r="N691" i="1" a="1"/>
  <c r="N691" i="1" s="1"/>
  <c r="L692" i="1"/>
  <c r="M692" i="1" a="1"/>
  <c r="M692" i="1" s="1"/>
  <c r="N692" i="1" a="1"/>
  <c r="N692" i="1" s="1"/>
  <c r="L693" i="1"/>
  <c r="M693" i="1" a="1"/>
  <c r="M693" i="1" s="1"/>
  <c r="N693" i="1" a="1"/>
  <c r="N693" i="1"/>
  <c r="L694" i="1"/>
  <c r="M694" i="1" a="1"/>
  <c r="M694" i="1" s="1"/>
  <c r="N694" i="1" a="1"/>
  <c r="N694" i="1"/>
  <c r="L695" i="1"/>
  <c r="M695" i="1" a="1"/>
  <c r="M695" i="1"/>
  <c r="N695" i="1" a="1"/>
  <c r="N695" i="1"/>
  <c r="L696" i="1"/>
  <c r="M696" i="1" a="1"/>
  <c r="M696" i="1" s="1"/>
  <c r="N696" i="1" a="1"/>
  <c r="N696" i="1"/>
  <c r="L697" i="1"/>
  <c r="M697" i="1" a="1"/>
  <c r="M697" i="1"/>
  <c r="N697" i="1" a="1"/>
  <c r="N697" i="1" s="1"/>
  <c r="L698" i="1"/>
  <c r="M698" i="1" a="1"/>
  <c r="M698" i="1"/>
  <c r="N698" i="1" a="1"/>
  <c r="N698" i="1"/>
  <c r="L699" i="1"/>
  <c r="M699" i="1" a="1"/>
  <c r="M699" i="1" s="1"/>
  <c r="N699" i="1" a="1"/>
  <c r="N699" i="1" s="1"/>
  <c r="L700" i="1"/>
  <c r="M700" i="1" a="1"/>
  <c r="M700" i="1"/>
  <c r="N700" i="1" a="1"/>
  <c r="N700" i="1" s="1"/>
  <c r="L701" i="1"/>
  <c r="M701" i="1" a="1"/>
  <c r="M701" i="1" s="1"/>
  <c r="N701" i="1" a="1"/>
  <c r="N701" i="1" s="1"/>
  <c r="L702" i="1"/>
  <c r="M702" i="1" a="1"/>
  <c r="M702" i="1" s="1"/>
  <c r="N702" i="1" a="1"/>
  <c r="N702" i="1" s="1"/>
  <c r="L703" i="1"/>
  <c r="M703" i="1" a="1"/>
  <c r="M703" i="1" s="1"/>
  <c r="N703" i="1" a="1"/>
  <c r="N703" i="1" s="1"/>
  <c r="L704" i="1"/>
  <c r="M704" i="1" a="1"/>
  <c r="M704" i="1" s="1"/>
  <c r="N704" i="1" a="1"/>
  <c r="N704" i="1"/>
  <c r="L705" i="1"/>
  <c r="M705" i="1" a="1"/>
  <c r="M705" i="1" s="1"/>
  <c r="N705" i="1" a="1"/>
  <c r="N705" i="1" s="1"/>
  <c r="L706" i="1"/>
  <c r="M706" i="1" a="1"/>
  <c r="M706" i="1"/>
  <c r="N706" i="1" a="1"/>
  <c r="N706" i="1" s="1"/>
  <c r="L707" i="1"/>
  <c r="M707" i="1" a="1"/>
  <c r="M707" i="1" s="1"/>
  <c r="N707" i="1" a="1"/>
  <c r="N707" i="1"/>
  <c r="L708" i="1"/>
  <c r="M708" i="1" a="1"/>
  <c r="M708" i="1" s="1"/>
  <c r="N708" i="1" a="1"/>
  <c r="N708" i="1"/>
  <c r="L709" i="1"/>
  <c r="M709" i="1" a="1"/>
  <c r="M709" i="1" s="1"/>
  <c r="N709" i="1" a="1"/>
  <c r="N709" i="1"/>
  <c r="L710" i="1"/>
  <c r="M710" i="1" a="1"/>
  <c r="M710" i="1" s="1"/>
  <c r="N710" i="1" a="1"/>
  <c r="N710" i="1"/>
  <c r="L711" i="1"/>
  <c r="M711" i="1" a="1"/>
  <c r="M711" i="1"/>
  <c r="N711" i="1" a="1"/>
  <c r="N711" i="1"/>
  <c r="L712" i="1"/>
  <c r="M712" i="1" a="1"/>
  <c r="M712" i="1"/>
  <c r="N712" i="1" a="1"/>
  <c r="N712" i="1" s="1"/>
  <c r="L713" i="1"/>
  <c r="M713" i="1" a="1"/>
  <c r="M713" i="1" s="1"/>
  <c r="N713" i="1" a="1"/>
  <c r="N713" i="1"/>
  <c r="L714" i="1"/>
  <c r="M714" i="1" a="1"/>
  <c r="M714" i="1" s="1"/>
  <c r="N714" i="1" a="1"/>
  <c r="N714" i="1"/>
  <c r="L715" i="1"/>
  <c r="M715" i="1" a="1"/>
  <c r="M715" i="1"/>
  <c r="N715" i="1" a="1"/>
  <c r="N715" i="1" s="1"/>
  <c r="L716" i="1"/>
  <c r="M716" i="1" a="1"/>
  <c r="M716" i="1" s="1"/>
  <c r="N716" i="1" a="1"/>
  <c r="N716" i="1" s="1"/>
  <c r="L717" i="1"/>
  <c r="M717" i="1" a="1"/>
  <c r="M717" i="1"/>
  <c r="N717" i="1" a="1"/>
  <c r="N717" i="1" s="1"/>
  <c r="L718" i="1"/>
  <c r="M718" i="1" a="1"/>
  <c r="M718" i="1" s="1"/>
  <c r="N718" i="1" a="1"/>
  <c r="N718" i="1"/>
  <c r="L719" i="1"/>
  <c r="M719" i="1" a="1"/>
  <c r="M719" i="1" s="1"/>
  <c r="N719" i="1" a="1"/>
  <c r="N719" i="1" s="1"/>
  <c r="L720" i="1"/>
  <c r="M720" i="1" a="1"/>
  <c r="M720" i="1" s="1"/>
  <c r="N720" i="1" a="1"/>
  <c r="N720" i="1"/>
  <c r="L721" i="1"/>
  <c r="M721" i="1" a="1"/>
  <c r="M721" i="1" s="1"/>
  <c r="N721" i="1" a="1"/>
  <c r="N721" i="1"/>
  <c r="L722" i="1"/>
  <c r="M722" i="1" a="1"/>
  <c r="M722" i="1"/>
  <c r="N722" i="1" a="1"/>
  <c r="N722" i="1" s="1"/>
  <c r="L723" i="1"/>
  <c r="M723" i="1" a="1"/>
  <c r="M723" i="1"/>
  <c r="N723" i="1" a="1"/>
  <c r="N723" i="1" s="1"/>
  <c r="L724" i="1"/>
  <c r="M724" i="1" a="1"/>
  <c r="M724" i="1" s="1"/>
  <c r="N724" i="1" a="1"/>
  <c r="N724" i="1" s="1"/>
  <c r="L725" i="1"/>
  <c r="M725" i="1" a="1"/>
  <c r="M725" i="1"/>
  <c r="N725" i="1" a="1"/>
  <c r="N725" i="1" s="1"/>
  <c r="L726" i="1"/>
  <c r="M726" i="1" a="1"/>
  <c r="M726" i="1"/>
  <c r="N726" i="1" a="1"/>
  <c r="N726" i="1"/>
  <c r="L727" i="1"/>
  <c r="M727" i="1" a="1"/>
  <c r="M727" i="1" s="1"/>
  <c r="N727" i="1" a="1"/>
  <c r="N727" i="1" s="1"/>
  <c r="L728" i="1"/>
  <c r="M728" i="1" a="1"/>
  <c r="M728" i="1"/>
  <c r="N728" i="1" a="1"/>
  <c r="N728" i="1" s="1"/>
  <c r="L729" i="1"/>
  <c r="M729" i="1" a="1"/>
  <c r="M729" i="1" s="1"/>
  <c r="N729" i="1" a="1"/>
  <c r="N729" i="1" s="1"/>
  <c r="L730" i="1"/>
  <c r="M730" i="1" a="1"/>
  <c r="M730" i="1" s="1"/>
  <c r="N730" i="1" a="1"/>
  <c r="N730" i="1"/>
  <c r="L731" i="1"/>
  <c r="M731" i="1" a="1"/>
  <c r="M731" i="1"/>
  <c r="N731" i="1" a="1"/>
  <c r="N731" i="1" s="1"/>
  <c r="L732" i="1"/>
  <c r="M732" i="1" a="1"/>
  <c r="M732" i="1" s="1"/>
  <c r="N732" i="1" a="1"/>
  <c r="N732" i="1"/>
  <c r="L733" i="1"/>
  <c r="M733" i="1" a="1"/>
  <c r="M733" i="1" s="1"/>
  <c r="N733" i="1" a="1"/>
  <c r="N733" i="1" s="1"/>
  <c r="L734" i="1"/>
  <c r="M734" i="1" a="1"/>
  <c r="M734" i="1"/>
  <c r="N734" i="1" a="1"/>
  <c r="N734" i="1"/>
  <c r="L735" i="1"/>
  <c r="M735" i="1" a="1"/>
  <c r="M735" i="1" s="1"/>
  <c r="N735" i="1" a="1"/>
  <c r="N735" i="1" s="1"/>
  <c r="L736" i="1"/>
  <c r="M736" i="1" a="1"/>
  <c r="M736" i="1"/>
  <c r="N736" i="1" a="1"/>
  <c r="N736" i="1" s="1"/>
  <c r="L737" i="1"/>
  <c r="M737" i="1" a="1"/>
  <c r="M737" i="1" s="1"/>
  <c r="N737" i="1" a="1"/>
  <c r="N737" i="1" s="1"/>
  <c r="L738" i="1"/>
  <c r="M738" i="1" a="1"/>
  <c r="M738" i="1" s="1"/>
  <c r="N738" i="1" a="1"/>
  <c r="N738" i="1"/>
  <c r="L739" i="1"/>
  <c r="M739" i="1" a="1"/>
  <c r="M739" i="1" s="1"/>
  <c r="N739" i="1" a="1"/>
  <c r="N739" i="1" s="1"/>
  <c r="L740" i="1"/>
  <c r="M740" i="1" a="1"/>
  <c r="M740" i="1" s="1"/>
  <c r="N740" i="1" a="1"/>
  <c r="N740" i="1"/>
  <c r="L741" i="1"/>
  <c r="M741" i="1" a="1"/>
  <c r="M741" i="1" s="1"/>
  <c r="N741" i="1" a="1"/>
  <c r="N741" i="1" s="1"/>
  <c r="L742" i="1"/>
  <c r="M742" i="1" a="1"/>
  <c r="M742" i="1"/>
  <c r="N742" i="1" a="1"/>
  <c r="N742" i="1"/>
  <c r="L743" i="1"/>
  <c r="M743" i="1" a="1"/>
  <c r="M743" i="1" s="1"/>
  <c r="N743" i="1" a="1"/>
  <c r="N743" i="1"/>
  <c r="L744" i="1"/>
  <c r="M744" i="1" a="1"/>
  <c r="M744" i="1" s="1"/>
  <c r="N744" i="1" a="1"/>
  <c r="N744" i="1" s="1"/>
  <c r="L745" i="1"/>
  <c r="M745" i="1" a="1"/>
  <c r="M745" i="1" s="1"/>
  <c r="N745" i="1" a="1"/>
  <c r="N745" i="1"/>
  <c r="L746" i="1"/>
  <c r="M746" i="1" a="1"/>
  <c r="M746" i="1" s="1"/>
  <c r="N746" i="1" a="1"/>
  <c r="N746" i="1"/>
  <c r="L747" i="1"/>
  <c r="M747" i="1" a="1"/>
  <c r="M747" i="1" s="1"/>
  <c r="N747" i="1" a="1"/>
  <c r="N747" i="1" s="1"/>
  <c r="L748" i="1"/>
  <c r="M748" i="1" a="1"/>
  <c r="M748" i="1"/>
  <c r="N748" i="1" a="1"/>
  <c r="N748" i="1" s="1"/>
  <c r="L749" i="1"/>
  <c r="M749" i="1" a="1"/>
  <c r="M749" i="1" s="1"/>
  <c r="N749" i="1" a="1"/>
  <c r="N749" i="1"/>
  <c r="L750" i="1"/>
  <c r="M750" i="1" a="1"/>
  <c r="M750" i="1" s="1"/>
  <c r="N750" i="1" a="1"/>
  <c r="N750" i="1" s="1"/>
  <c r="L751" i="1"/>
  <c r="M751" i="1" a="1"/>
  <c r="M751" i="1"/>
  <c r="N751" i="1" a="1"/>
  <c r="N751" i="1"/>
  <c r="L752" i="1"/>
  <c r="M752" i="1" a="1"/>
  <c r="M752" i="1" s="1"/>
  <c r="N752" i="1" a="1"/>
  <c r="N752" i="1"/>
  <c r="L753" i="1"/>
  <c r="M753" i="1" a="1"/>
  <c r="M753" i="1"/>
  <c r="N753" i="1" a="1"/>
  <c r="N753" i="1" s="1"/>
  <c r="L754" i="1"/>
  <c r="M754" i="1" a="1"/>
  <c r="M754" i="1"/>
  <c r="N754" i="1" a="1"/>
  <c r="N754" i="1"/>
  <c r="L755" i="1"/>
  <c r="M755" i="1" a="1"/>
  <c r="M755" i="1" s="1"/>
  <c r="N755" i="1" a="1"/>
  <c r="N755" i="1"/>
  <c r="L756" i="1"/>
  <c r="M756" i="1" a="1"/>
  <c r="M756" i="1" s="1"/>
  <c r="N756" i="1" a="1"/>
  <c r="N756" i="1" s="1"/>
  <c r="L757" i="1"/>
  <c r="M757" i="1" a="1"/>
  <c r="M757" i="1" s="1"/>
  <c r="N757" i="1" a="1"/>
  <c r="N757" i="1" s="1"/>
  <c r="L758" i="1"/>
  <c r="M758" i="1" a="1"/>
  <c r="M758" i="1" s="1"/>
  <c r="N758" i="1" a="1"/>
  <c r="N758" i="1"/>
  <c r="L759" i="1"/>
  <c r="M759" i="1" a="1"/>
  <c r="M759" i="1" s="1"/>
  <c r="N759" i="1" a="1"/>
  <c r="N759" i="1"/>
  <c r="L760" i="1"/>
  <c r="M760" i="1" a="1"/>
  <c r="M760" i="1"/>
  <c r="N760" i="1" a="1"/>
  <c r="N760" i="1"/>
  <c r="L761" i="1"/>
  <c r="M761" i="1" a="1"/>
  <c r="M761" i="1" s="1"/>
  <c r="N761" i="1" a="1"/>
  <c r="N761" i="1"/>
  <c r="L762" i="1"/>
  <c r="M762" i="1" a="1"/>
  <c r="M762" i="1"/>
  <c r="N762" i="1" a="1"/>
  <c r="N762" i="1"/>
  <c r="L763" i="1"/>
  <c r="M763" i="1" a="1"/>
  <c r="M763" i="1"/>
  <c r="N763" i="1" a="1"/>
  <c r="N763" i="1"/>
  <c r="L764" i="1"/>
  <c r="M764" i="1" a="1"/>
  <c r="M764" i="1" s="1"/>
  <c r="N764" i="1" a="1"/>
  <c r="N764" i="1" s="1"/>
  <c r="L765" i="1"/>
  <c r="M765" i="1" a="1"/>
  <c r="M765" i="1"/>
  <c r="N765" i="1" a="1"/>
  <c r="N765" i="1" s="1"/>
  <c r="L766" i="1"/>
  <c r="M766" i="1" a="1"/>
  <c r="M766" i="1" s="1"/>
  <c r="N766" i="1" a="1"/>
  <c r="N766" i="1"/>
  <c r="L767" i="1"/>
  <c r="M767" i="1" a="1"/>
  <c r="M767" i="1" s="1"/>
  <c r="N767" i="1" a="1"/>
  <c r="N767" i="1"/>
  <c r="L768" i="1"/>
  <c r="M768" i="1" a="1"/>
  <c r="M768" i="1"/>
  <c r="N768" i="1" a="1"/>
  <c r="N768" i="1" s="1"/>
  <c r="L769" i="1"/>
  <c r="M769" i="1" a="1"/>
  <c r="M769" i="1" s="1"/>
  <c r="N769" i="1" a="1"/>
  <c r="N769" i="1"/>
  <c r="L770" i="1"/>
  <c r="M770" i="1" a="1"/>
  <c r="M770" i="1"/>
  <c r="N770" i="1" a="1"/>
  <c r="N770" i="1" s="1"/>
  <c r="L771" i="1"/>
  <c r="M771" i="1" a="1"/>
  <c r="M771" i="1"/>
  <c r="N771" i="1" a="1"/>
  <c r="N771" i="1"/>
  <c r="L772" i="1"/>
  <c r="M772" i="1" a="1"/>
  <c r="M772" i="1" s="1"/>
  <c r="N772" i="1" a="1"/>
  <c r="N772" i="1"/>
  <c r="L773" i="1"/>
  <c r="M773" i="1" a="1"/>
  <c r="M773" i="1"/>
  <c r="N773" i="1" a="1"/>
  <c r="N773" i="1" s="1"/>
  <c r="L774" i="1"/>
  <c r="M774" i="1" a="1"/>
  <c r="M774" i="1"/>
  <c r="N774" i="1" a="1"/>
  <c r="N774" i="1"/>
  <c r="L775" i="1"/>
  <c r="M775" i="1" a="1"/>
  <c r="M775" i="1" s="1"/>
  <c r="N775" i="1" a="1"/>
  <c r="N775" i="1" s="1"/>
  <c r="L776" i="1"/>
  <c r="M776" i="1" a="1"/>
  <c r="M776" i="1"/>
  <c r="N776" i="1" a="1"/>
  <c r="N776" i="1" s="1"/>
  <c r="L777" i="1"/>
  <c r="M777" i="1" a="1"/>
  <c r="M777" i="1"/>
  <c r="N777" i="1" a="1"/>
  <c r="N777" i="1"/>
  <c r="L778" i="1"/>
  <c r="M778" i="1" a="1"/>
  <c r="M778" i="1" s="1"/>
  <c r="N778" i="1" a="1"/>
  <c r="N778" i="1" s="1"/>
  <c r="D6" i="2" l="1"/>
  <c r="I6" i="2" s="1"/>
  <c r="D4" i="2"/>
  <c r="I4" i="2" s="1"/>
  <c r="G6" i="2"/>
  <c r="H3" i="2"/>
  <c r="D2" i="2"/>
  <c r="F2" i="2" s="1"/>
  <c r="D3" i="2"/>
  <c r="I3" i="2" s="1"/>
  <c r="G5" i="2"/>
  <c r="G4" i="2"/>
  <c r="G3" i="2"/>
  <c r="H2" i="2"/>
  <c r="H6" i="2"/>
  <c r="H5" i="2"/>
  <c r="D5" i="2"/>
  <c r="I5" i="2" s="1"/>
  <c r="H4" i="2"/>
  <c r="F4" i="2"/>
  <c r="F3" i="2" l="1"/>
  <c r="I2" i="2"/>
  <c r="J2" i="2" s="1"/>
  <c r="F5" i="2"/>
  <c r="F6" i="2"/>
  <c r="J5" i="2"/>
  <c r="J3" i="2"/>
  <c r="J4" i="2"/>
  <c r="J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<sst xmlns="http://schemas.openxmlformats.org/spreadsheetml/2006/main" count="3928" uniqueCount="830">
  <si>
    <t>PO-00001</t>
  </si>
  <si>
    <t>Alpha_Inc</t>
  </si>
  <si>
    <t>Office Supplies</t>
  </si>
  <si>
    <t>Cancelled</t>
  </si>
  <si>
    <t>Yes</t>
  </si>
  <si>
    <t>PO-00002</t>
  </si>
  <si>
    <t>Delta_Logistics</t>
  </si>
  <si>
    <t>Delivered</t>
  </si>
  <si>
    <t>PO-00003</t>
  </si>
  <si>
    <t>Gamma_Co</t>
  </si>
  <si>
    <t>MRO</t>
  </si>
  <si>
    <t>PO-00004</t>
  </si>
  <si>
    <t>Beta_Supplies</t>
  </si>
  <si>
    <t>Packaging</t>
  </si>
  <si>
    <t>PO-00005</t>
  </si>
  <si>
    <t>Raw Materials</t>
  </si>
  <si>
    <t>No</t>
  </si>
  <si>
    <t>PO-00006</t>
  </si>
  <si>
    <t>Epsilon_Group</t>
  </si>
  <si>
    <t>PO-00007</t>
  </si>
  <si>
    <t>PO-00008</t>
  </si>
  <si>
    <t>PO-00009</t>
  </si>
  <si>
    <t>Partially Delivered</t>
  </si>
  <si>
    <t>PO-00010</t>
  </si>
  <si>
    <t>Pending</t>
  </si>
  <si>
    <t>PO-00011</t>
  </si>
  <si>
    <t>PO-00012</t>
  </si>
  <si>
    <t>PO-00013</t>
  </si>
  <si>
    <t>Electronics</t>
  </si>
  <si>
    <t>PO-00014</t>
  </si>
  <si>
    <t>PO-00015</t>
  </si>
  <si>
    <t>PO-00016</t>
  </si>
  <si>
    <t>PO-00017</t>
  </si>
  <si>
    <t>PO-00018</t>
  </si>
  <si>
    <t>PO-00019</t>
  </si>
  <si>
    <t>PO-00020</t>
  </si>
  <si>
    <t>PO-00021</t>
  </si>
  <si>
    <t>PO-00022</t>
  </si>
  <si>
    <t>PO-00023</t>
  </si>
  <si>
    <t>PO-00024</t>
  </si>
  <si>
    <t>PO-00025</t>
  </si>
  <si>
    <t>PO-00026</t>
  </si>
  <si>
    <t>PO-00027</t>
  </si>
  <si>
    <t>PO-00028</t>
  </si>
  <si>
    <t>PO-00029</t>
  </si>
  <si>
    <t>PO-00030</t>
  </si>
  <si>
    <t>PO-00031</t>
  </si>
  <si>
    <t>PO-00032</t>
  </si>
  <si>
    <t>PO-00033</t>
  </si>
  <si>
    <t>PO-00034</t>
  </si>
  <si>
    <t>PO-00035</t>
  </si>
  <si>
    <t>PO-00036</t>
  </si>
  <si>
    <t>PO-00037</t>
  </si>
  <si>
    <t>PO-00038</t>
  </si>
  <si>
    <t>PO-00039</t>
  </si>
  <si>
    <t>PO-00040</t>
  </si>
  <si>
    <t>PO-00041</t>
  </si>
  <si>
    <t>PO-00042</t>
  </si>
  <si>
    <t>PO-00043</t>
  </si>
  <si>
    <t>PO-00044</t>
  </si>
  <si>
    <t>PO-00045</t>
  </si>
  <si>
    <t>PO-00046</t>
  </si>
  <si>
    <t>PO-00047</t>
  </si>
  <si>
    <t>PO-00048</t>
  </si>
  <si>
    <t>PO-00049</t>
  </si>
  <si>
    <t>PO-00050</t>
  </si>
  <si>
    <t>PO-00051</t>
  </si>
  <si>
    <t>PO-00052</t>
  </si>
  <si>
    <t>PO-00053</t>
  </si>
  <si>
    <t>PO-00054</t>
  </si>
  <si>
    <t>PO-00055</t>
  </si>
  <si>
    <t>PO-00056</t>
  </si>
  <si>
    <t>PO-00057</t>
  </si>
  <si>
    <t>PO-00058</t>
  </si>
  <si>
    <t>PO-00059</t>
  </si>
  <si>
    <t>PO-00060</t>
  </si>
  <si>
    <t>PO-00061</t>
  </si>
  <si>
    <t>PO-00062</t>
  </si>
  <si>
    <t>PO-00063</t>
  </si>
  <si>
    <t>PO-00064</t>
  </si>
  <si>
    <t>PO-00065</t>
  </si>
  <si>
    <t>PO-00066</t>
  </si>
  <si>
    <t>PO-00067</t>
  </si>
  <si>
    <t>PO-00068</t>
  </si>
  <si>
    <t>PO-00069</t>
  </si>
  <si>
    <t>PO-00070</t>
  </si>
  <si>
    <t>PO-00071</t>
  </si>
  <si>
    <t>PO-00072</t>
  </si>
  <si>
    <t>PO-00073</t>
  </si>
  <si>
    <t>PO-00074</t>
  </si>
  <si>
    <t>PO-00075</t>
  </si>
  <si>
    <t>PO-00076</t>
  </si>
  <si>
    <t>PO-00077</t>
  </si>
  <si>
    <t>PO-00078</t>
  </si>
  <si>
    <t>PO-00079</t>
  </si>
  <si>
    <t>PO-00080</t>
  </si>
  <si>
    <t>PO-00081</t>
  </si>
  <si>
    <t>PO-00082</t>
  </si>
  <si>
    <t>PO-00083</t>
  </si>
  <si>
    <t>PO-00084</t>
  </si>
  <si>
    <t>PO-00085</t>
  </si>
  <si>
    <t>PO-00086</t>
  </si>
  <si>
    <t>PO-00087</t>
  </si>
  <si>
    <t>PO-00088</t>
  </si>
  <si>
    <t>PO-00089</t>
  </si>
  <si>
    <t>PO-00090</t>
  </si>
  <si>
    <t>PO-00091</t>
  </si>
  <si>
    <t>PO-00092</t>
  </si>
  <si>
    <t>PO-00093</t>
  </si>
  <si>
    <t>PO-00094</t>
  </si>
  <si>
    <t>PO-00095</t>
  </si>
  <si>
    <t>PO-00096</t>
  </si>
  <si>
    <t>PO-00097</t>
  </si>
  <si>
    <t>PO-00098</t>
  </si>
  <si>
    <t>PO-00099</t>
  </si>
  <si>
    <t>PO-00100</t>
  </si>
  <si>
    <t>PO-00101</t>
  </si>
  <si>
    <t>PO-00102</t>
  </si>
  <si>
    <t>PO-00103</t>
  </si>
  <si>
    <t>PO-00104</t>
  </si>
  <si>
    <t>PO-00105</t>
  </si>
  <si>
    <t>PO-00106</t>
  </si>
  <si>
    <t>PO-00107</t>
  </si>
  <si>
    <t>PO-00108</t>
  </si>
  <si>
    <t>PO-00109</t>
  </si>
  <si>
    <t>PO-00110</t>
  </si>
  <si>
    <t>PO-00111</t>
  </si>
  <si>
    <t>PO-00112</t>
  </si>
  <si>
    <t>PO-00113</t>
  </si>
  <si>
    <t>PO-00114</t>
  </si>
  <si>
    <t>PO-00115</t>
  </si>
  <si>
    <t>PO-00116</t>
  </si>
  <si>
    <t>PO-00117</t>
  </si>
  <si>
    <t>PO-00118</t>
  </si>
  <si>
    <t>PO-00119</t>
  </si>
  <si>
    <t>PO-00120</t>
  </si>
  <si>
    <t>PO-00121</t>
  </si>
  <si>
    <t>PO-00122</t>
  </si>
  <si>
    <t>PO-00123</t>
  </si>
  <si>
    <t>PO-00124</t>
  </si>
  <si>
    <t>PO-00125</t>
  </si>
  <si>
    <t>PO-00126</t>
  </si>
  <si>
    <t>PO-00127</t>
  </si>
  <si>
    <t>PO-00128</t>
  </si>
  <si>
    <t>PO-00129</t>
  </si>
  <si>
    <t>PO-00130</t>
  </si>
  <si>
    <t>PO-00131</t>
  </si>
  <si>
    <t>PO-00132</t>
  </si>
  <si>
    <t>PO-00133</t>
  </si>
  <si>
    <t>PO-00134</t>
  </si>
  <si>
    <t>PO-00135</t>
  </si>
  <si>
    <t>PO-00136</t>
  </si>
  <si>
    <t>PO-00137</t>
  </si>
  <si>
    <t>PO-00138</t>
  </si>
  <si>
    <t>PO-00139</t>
  </si>
  <si>
    <t>PO-00140</t>
  </si>
  <si>
    <t>PO-00141</t>
  </si>
  <si>
    <t>PO-00142</t>
  </si>
  <si>
    <t>PO-00143</t>
  </si>
  <si>
    <t>PO-00144</t>
  </si>
  <si>
    <t>PO-00145</t>
  </si>
  <si>
    <t>PO-00146</t>
  </si>
  <si>
    <t>PO-00147</t>
  </si>
  <si>
    <t>PO-00148</t>
  </si>
  <si>
    <t>PO-00149</t>
  </si>
  <si>
    <t>PO-00150</t>
  </si>
  <si>
    <t>PO-00151</t>
  </si>
  <si>
    <t>PO-00152</t>
  </si>
  <si>
    <t>PO-00153</t>
  </si>
  <si>
    <t>PO-00154</t>
  </si>
  <si>
    <t>PO-00155</t>
  </si>
  <si>
    <t>PO-00156</t>
  </si>
  <si>
    <t>PO-00157</t>
  </si>
  <si>
    <t>PO-00158</t>
  </si>
  <si>
    <t>PO-00159</t>
  </si>
  <si>
    <t>PO-00160</t>
  </si>
  <si>
    <t>PO-00161</t>
  </si>
  <si>
    <t>PO-00162</t>
  </si>
  <si>
    <t>PO-00163</t>
  </si>
  <si>
    <t>PO-00164</t>
  </si>
  <si>
    <t>PO-00165</t>
  </si>
  <si>
    <t>PO-00166</t>
  </si>
  <si>
    <t>PO-00167</t>
  </si>
  <si>
    <t>PO-00168</t>
  </si>
  <si>
    <t>PO-00169</t>
  </si>
  <si>
    <t>PO-00170</t>
  </si>
  <si>
    <t>PO-00171</t>
  </si>
  <si>
    <t>PO-00172</t>
  </si>
  <si>
    <t>PO-00173</t>
  </si>
  <si>
    <t>PO-00174</t>
  </si>
  <si>
    <t>PO-00175</t>
  </si>
  <si>
    <t>PO-00176</t>
  </si>
  <si>
    <t>PO-00177</t>
  </si>
  <si>
    <t>PO-00178</t>
  </si>
  <si>
    <t>PO-00179</t>
  </si>
  <si>
    <t>PO-00180</t>
  </si>
  <si>
    <t>PO-00181</t>
  </si>
  <si>
    <t>PO-00182</t>
  </si>
  <si>
    <t>PO-00183</t>
  </si>
  <si>
    <t>PO-00184</t>
  </si>
  <si>
    <t>PO-00185</t>
  </si>
  <si>
    <t>PO-00186</t>
  </si>
  <si>
    <t>PO-00187</t>
  </si>
  <si>
    <t>PO-00188</t>
  </si>
  <si>
    <t>PO-00189</t>
  </si>
  <si>
    <t>PO-00190</t>
  </si>
  <si>
    <t>PO-00191</t>
  </si>
  <si>
    <t>PO-00192</t>
  </si>
  <si>
    <t>PO-00193</t>
  </si>
  <si>
    <t>PO-00194</t>
  </si>
  <si>
    <t>PO-00195</t>
  </si>
  <si>
    <t>PO-00196</t>
  </si>
  <si>
    <t>PO-00197</t>
  </si>
  <si>
    <t>PO-00198</t>
  </si>
  <si>
    <t>PO-00199</t>
  </si>
  <si>
    <t>PO-00200</t>
  </si>
  <si>
    <t>PO-00201</t>
  </si>
  <si>
    <t>PO-00202</t>
  </si>
  <si>
    <t>PO-00203</t>
  </si>
  <si>
    <t>PO-00204</t>
  </si>
  <si>
    <t>PO-00205</t>
  </si>
  <si>
    <t>PO-00206</t>
  </si>
  <si>
    <t>PO-00207</t>
  </si>
  <si>
    <t>PO-00208</t>
  </si>
  <si>
    <t>PO-00209</t>
  </si>
  <si>
    <t>PO-00210</t>
  </si>
  <si>
    <t>PO-00211</t>
  </si>
  <si>
    <t>PO-00212</t>
  </si>
  <si>
    <t>PO-00213</t>
  </si>
  <si>
    <t>PO-00214</t>
  </si>
  <si>
    <t>PO-00215</t>
  </si>
  <si>
    <t>PO-00216</t>
  </si>
  <si>
    <t>PO-00217</t>
  </si>
  <si>
    <t>PO-00218</t>
  </si>
  <si>
    <t>PO-00219</t>
  </si>
  <si>
    <t>PO-00220</t>
  </si>
  <si>
    <t>PO-00221</t>
  </si>
  <si>
    <t>PO-00222</t>
  </si>
  <si>
    <t>PO-00223</t>
  </si>
  <si>
    <t>PO-00224</t>
  </si>
  <si>
    <t>PO-00225</t>
  </si>
  <si>
    <t>PO-00226</t>
  </si>
  <si>
    <t>PO-00227</t>
  </si>
  <si>
    <t>PO-00228</t>
  </si>
  <si>
    <t>PO-00229</t>
  </si>
  <si>
    <t>PO-00230</t>
  </si>
  <si>
    <t>PO-00231</t>
  </si>
  <si>
    <t>PO-00232</t>
  </si>
  <si>
    <t>PO-00233</t>
  </si>
  <si>
    <t>PO-00234</t>
  </si>
  <si>
    <t>PO-00235</t>
  </si>
  <si>
    <t>PO-00236</t>
  </si>
  <si>
    <t>PO-00237</t>
  </si>
  <si>
    <t>PO-00238</t>
  </si>
  <si>
    <t>PO-00239</t>
  </si>
  <si>
    <t>PO-00240</t>
  </si>
  <si>
    <t>PO-00241</t>
  </si>
  <si>
    <t>PO-00242</t>
  </si>
  <si>
    <t>PO-00243</t>
  </si>
  <si>
    <t>PO-00244</t>
  </si>
  <si>
    <t>PO-00245</t>
  </si>
  <si>
    <t>PO-00246</t>
  </si>
  <si>
    <t>PO-00247</t>
  </si>
  <si>
    <t>PO-00248</t>
  </si>
  <si>
    <t>PO-00249</t>
  </si>
  <si>
    <t>PO-00250</t>
  </si>
  <si>
    <t>PO-00251</t>
  </si>
  <si>
    <t>PO-00252</t>
  </si>
  <si>
    <t>PO-00253</t>
  </si>
  <si>
    <t>PO-00254</t>
  </si>
  <si>
    <t>PO-00255</t>
  </si>
  <si>
    <t>PO-00256</t>
  </si>
  <si>
    <t>PO-00257</t>
  </si>
  <si>
    <t>PO-00258</t>
  </si>
  <si>
    <t>PO-00259</t>
  </si>
  <si>
    <t>PO-00260</t>
  </si>
  <si>
    <t>PO-00261</t>
  </si>
  <si>
    <t>PO-00262</t>
  </si>
  <si>
    <t>PO-00263</t>
  </si>
  <si>
    <t>PO-00264</t>
  </si>
  <si>
    <t>PO-00265</t>
  </si>
  <si>
    <t>PO-00266</t>
  </si>
  <si>
    <t>PO-00267</t>
  </si>
  <si>
    <t>PO-00268</t>
  </si>
  <si>
    <t>PO-00269</t>
  </si>
  <si>
    <t>PO-00270</t>
  </si>
  <si>
    <t>PO-00271</t>
  </si>
  <si>
    <t>PO-00272</t>
  </si>
  <si>
    <t>PO-00273</t>
  </si>
  <si>
    <t>PO-00274</t>
  </si>
  <si>
    <t>PO-00275</t>
  </si>
  <si>
    <t>PO-00276</t>
  </si>
  <si>
    <t>PO-00277</t>
  </si>
  <si>
    <t>PO-00278</t>
  </si>
  <si>
    <t>PO-00279</t>
  </si>
  <si>
    <t>PO-00280</t>
  </si>
  <si>
    <t>PO-00281</t>
  </si>
  <si>
    <t>PO-00282</t>
  </si>
  <si>
    <t>PO-00283</t>
  </si>
  <si>
    <t>PO-00284</t>
  </si>
  <si>
    <t>PO-00285</t>
  </si>
  <si>
    <t>PO-00286</t>
  </si>
  <si>
    <t>PO-00287</t>
  </si>
  <si>
    <t>PO-00288</t>
  </si>
  <si>
    <t>PO-00289</t>
  </si>
  <si>
    <t>PO-00290</t>
  </si>
  <si>
    <t>PO-00291</t>
  </si>
  <si>
    <t>PO-00292</t>
  </si>
  <si>
    <t>PO-00293</t>
  </si>
  <si>
    <t>PO-00294</t>
  </si>
  <si>
    <t>PO-00295</t>
  </si>
  <si>
    <t>PO-00296</t>
  </si>
  <si>
    <t>PO-00297</t>
  </si>
  <si>
    <t>PO-00298</t>
  </si>
  <si>
    <t>PO-00299</t>
  </si>
  <si>
    <t>PO-00300</t>
  </si>
  <si>
    <t>PO-00301</t>
  </si>
  <si>
    <t>PO-00302</t>
  </si>
  <si>
    <t>PO-00303</t>
  </si>
  <si>
    <t>PO-00304</t>
  </si>
  <si>
    <t>PO-00305</t>
  </si>
  <si>
    <t>PO-00306</t>
  </si>
  <si>
    <t>PO-00307</t>
  </si>
  <si>
    <t>PO-00308</t>
  </si>
  <si>
    <t>PO-00309</t>
  </si>
  <si>
    <t>PO-00310</t>
  </si>
  <si>
    <t>PO-00311</t>
  </si>
  <si>
    <t>PO-00312</t>
  </si>
  <si>
    <t>PO-00313</t>
  </si>
  <si>
    <t>PO-00314</t>
  </si>
  <si>
    <t>PO-00315</t>
  </si>
  <si>
    <t>PO-00316</t>
  </si>
  <si>
    <t>PO-00317</t>
  </si>
  <si>
    <t>PO-00318</t>
  </si>
  <si>
    <t>PO-00319</t>
  </si>
  <si>
    <t>PO-00320</t>
  </si>
  <si>
    <t>PO-00321</t>
  </si>
  <si>
    <t>PO-00322</t>
  </si>
  <si>
    <t>PO-00323</t>
  </si>
  <si>
    <t>PO-00324</t>
  </si>
  <si>
    <t>PO-00325</t>
  </si>
  <si>
    <t>PO-00326</t>
  </si>
  <si>
    <t>PO-00327</t>
  </si>
  <si>
    <t>PO-00328</t>
  </si>
  <si>
    <t>PO-00329</t>
  </si>
  <si>
    <t>PO-00330</t>
  </si>
  <si>
    <t>PO-00331</t>
  </si>
  <si>
    <t>PO-00332</t>
  </si>
  <si>
    <t>PO-00333</t>
  </si>
  <si>
    <t>PO-00334</t>
  </si>
  <si>
    <t>PO-00335</t>
  </si>
  <si>
    <t>PO-00336</t>
  </si>
  <si>
    <t>PO-00337</t>
  </si>
  <si>
    <t>PO-00338</t>
  </si>
  <si>
    <t>PO-00339</t>
  </si>
  <si>
    <t>PO-00340</t>
  </si>
  <si>
    <t>PO-00341</t>
  </si>
  <si>
    <t>PO-00342</t>
  </si>
  <si>
    <t>PO-00343</t>
  </si>
  <si>
    <t>PO-00344</t>
  </si>
  <si>
    <t>PO-00345</t>
  </si>
  <si>
    <t>PO-00346</t>
  </si>
  <si>
    <t>PO-00347</t>
  </si>
  <si>
    <t>PO-00348</t>
  </si>
  <si>
    <t>PO-00349</t>
  </si>
  <si>
    <t>PO-00350</t>
  </si>
  <si>
    <t>PO-00351</t>
  </si>
  <si>
    <t>PO-00352</t>
  </si>
  <si>
    <t>PO-00353</t>
  </si>
  <si>
    <t>PO-00354</t>
  </si>
  <si>
    <t>PO-00355</t>
  </si>
  <si>
    <t>PO-00356</t>
  </si>
  <si>
    <t>PO-00357</t>
  </si>
  <si>
    <t>PO-00358</t>
  </si>
  <si>
    <t>PO-00359</t>
  </si>
  <si>
    <t>PO-00360</t>
  </si>
  <si>
    <t>PO-00361</t>
  </si>
  <si>
    <t>PO-00362</t>
  </si>
  <si>
    <t>PO-00363</t>
  </si>
  <si>
    <t>PO-00364</t>
  </si>
  <si>
    <t>PO-00365</t>
  </si>
  <si>
    <t>PO-00366</t>
  </si>
  <si>
    <t>PO-00367</t>
  </si>
  <si>
    <t>PO-00368</t>
  </si>
  <si>
    <t>PO-00369</t>
  </si>
  <si>
    <t>PO-00370</t>
  </si>
  <si>
    <t>PO-00371</t>
  </si>
  <si>
    <t>PO-00372</t>
  </si>
  <si>
    <t>PO-00373</t>
  </si>
  <si>
    <t>PO-00374</t>
  </si>
  <si>
    <t>PO-00375</t>
  </si>
  <si>
    <t>PO-00376</t>
  </si>
  <si>
    <t>PO-00377</t>
  </si>
  <si>
    <t>PO-00378</t>
  </si>
  <si>
    <t>PO-00379</t>
  </si>
  <si>
    <t>PO-00380</t>
  </si>
  <si>
    <t>PO-00381</t>
  </si>
  <si>
    <t>PO-00382</t>
  </si>
  <si>
    <t>PO-00383</t>
  </si>
  <si>
    <t>PO-00384</t>
  </si>
  <si>
    <t>PO-00385</t>
  </si>
  <si>
    <t>PO-00386</t>
  </si>
  <si>
    <t>PO-00387</t>
  </si>
  <si>
    <t>PO-00388</t>
  </si>
  <si>
    <t>PO-00389</t>
  </si>
  <si>
    <t>PO-00390</t>
  </si>
  <si>
    <t>PO-00391</t>
  </si>
  <si>
    <t>PO-00392</t>
  </si>
  <si>
    <t>PO-00393</t>
  </si>
  <si>
    <t>PO-00394</t>
  </si>
  <si>
    <t>PO-00395</t>
  </si>
  <si>
    <t>PO-00396</t>
  </si>
  <si>
    <t>PO-00397</t>
  </si>
  <si>
    <t>PO-00398</t>
  </si>
  <si>
    <t>PO-00399</t>
  </si>
  <si>
    <t>PO-00400</t>
  </si>
  <si>
    <t>PO-00401</t>
  </si>
  <si>
    <t>PO-00402</t>
  </si>
  <si>
    <t>PO-00403</t>
  </si>
  <si>
    <t>PO-00404</t>
  </si>
  <si>
    <t>PO-00405</t>
  </si>
  <si>
    <t>PO-00406</t>
  </si>
  <si>
    <t>PO-00407</t>
  </si>
  <si>
    <t>PO-00408</t>
  </si>
  <si>
    <t>PO-00409</t>
  </si>
  <si>
    <t>PO-00410</t>
  </si>
  <si>
    <t>PO-00411</t>
  </si>
  <si>
    <t>PO-00412</t>
  </si>
  <si>
    <t>PO-00413</t>
  </si>
  <si>
    <t>PO-00414</t>
  </si>
  <si>
    <t>PO-00415</t>
  </si>
  <si>
    <t>PO-00416</t>
  </si>
  <si>
    <t>PO-00417</t>
  </si>
  <si>
    <t>PO-00418</t>
  </si>
  <si>
    <t>PO-00419</t>
  </si>
  <si>
    <t>PO-00420</t>
  </si>
  <si>
    <t>PO-00421</t>
  </si>
  <si>
    <t>PO-00422</t>
  </si>
  <si>
    <t>PO-00423</t>
  </si>
  <si>
    <t>PO-00424</t>
  </si>
  <si>
    <t>PO-00425</t>
  </si>
  <si>
    <t>PO-00426</t>
  </si>
  <si>
    <t>PO-00427</t>
  </si>
  <si>
    <t>PO-00428</t>
  </si>
  <si>
    <t>PO-00429</t>
  </si>
  <si>
    <t>PO-00430</t>
  </si>
  <si>
    <t>PO-00431</t>
  </si>
  <si>
    <t>PO-00432</t>
  </si>
  <si>
    <t>PO-00433</t>
  </si>
  <si>
    <t>PO-00434</t>
  </si>
  <si>
    <t>PO-00435</t>
  </si>
  <si>
    <t>PO-00436</t>
  </si>
  <si>
    <t>PO-00437</t>
  </si>
  <si>
    <t>PO-00438</t>
  </si>
  <si>
    <t>PO-00439</t>
  </si>
  <si>
    <t>PO-00440</t>
  </si>
  <si>
    <t>PO-00441</t>
  </si>
  <si>
    <t>PO-00442</t>
  </si>
  <si>
    <t>PO-00443</t>
  </si>
  <si>
    <t>PO-00444</t>
  </si>
  <si>
    <t>PO-00445</t>
  </si>
  <si>
    <t>PO-00446</t>
  </si>
  <si>
    <t>PO-00447</t>
  </si>
  <si>
    <t>PO-00448</t>
  </si>
  <si>
    <t>PO-00449</t>
  </si>
  <si>
    <t>PO-00450</t>
  </si>
  <si>
    <t>PO-00451</t>
  </si>
  <si>
    <t>PO-00452</t>
  </si>
  <si>
    <t>PO-00453</t>
  </si>
  <si>
    <t>PO-00454</t>
  </si>
  <si>
    <t>PO-00455</t>
  </si>
  <si>
    <t>PO-00456</t>
  </si>
  <si>
    <t>PO-00457</t>
  </si>
  <si>
    <t>PO-00458</t>
  </si>
  <si>
    <t>PO-00459</t>
  </si>
  <si>
    <t>PO-00460</t>
  </si>
  <si>
    <t>PO-00461</t>
  </si>
  <si>
    <t>PO-00462</t>
  </si>
  <si>
    <t>PO-00463</t>
  </si>
  <si>
    <t>PO-00464</t>
  </si>
  <si>
    <t>PO-00465</t>
  </si>
  <si>
    <t>PO-00466</t>
  </si>
  <si>
    <t>PO-00467</t>
  </si>
  <si>
    <t>PO-00468</t>
  </si>
  <si>
    <t>PO-00469</t>
  </si>
  <si>
    <t>PO-00470</t>
  </si>
  <si>
    <t>PO-00471</t>
  </si>
  <si>
    <t>PO-00472</t>
  </si>
  <si>
    <t>PO-00473</t>
  </si>
  <si>
    <t>PO-00474</t>
  </si>
  <si>
    <t>PO-00475</t>
  </si>
  <si>
    <t>PO-00476</t>
  </si>
  <si>
    <t>PO-00477</t>
  </si>
  <si>
    <t>PO-00478</t>
  </si>
  <si>
    <t>PO-00479</t>
  </si>
  <si>
    <t>PO-00480</t>
  </si>
  <si>
    <t>PO-00481</t>
  </si>
  <si>
    <t>PO-00482</t>
  </si>
  <si>
    <t>PO-00483</t>
  </si>
  <si>
    <t>PO-00484</t>
  </si>
  <si>
    <t>PO-00485</t>
  </si>
  <si>
    <t>PO-00486</t>
  </si>
  <si>
    <t>PO-00487</t>
  </si>
  <si>
    <t>PO-00488</t>
  </si>
  <si>
    <t>PO-00489</t>
  </si>
  <si>
    <t>PO-00490</t>
  </si>
  <si>
    <t>PO-00491</t>
  </si>
  <si>
    <t>PO-00492</t>
  </si>
  <si>
    <t>PO-00493</t>
  </si>
  <si>
    <t>PO-00494</t>
  </si>
  <si>
    <t>PO-00495</t>
  </si>
  <si>
    <t>PO-00496</t>
  </si>
  <si>
    <t>PO-00497</t>
  </si>
  <si>
    <t>PO-00498</t>
  </si>
  <si>
    <t>PO-00499</t>
  </si>
  <si>
    <t>PO-00500</t>
  </si>
  <si>
    <t>PO-00501</t>
  </si>
  <si>
    <t>PO-00502</t>
  </si>
  <si>
    <t>PO-00503</t>
  </si>
  <si>
    <t>PO-00504</t>
  </si>
  <si>
    <t>PO-00505</t>
  </si>
  <si>
    <t>PO-00506</t>
  </si>
  <si>
    <t>PO-00507</t>
  </si>
  <si>
    <t>PO-00508</t>
  </si>
  <si>
    <t>PO-00509</t>
  </si>
  <si>
    <t>PO-00510</t>
  </si>
  <si>
    <t>PO-00511</t>
  </si>
  <si>
    <t>PO-00512</t>
  </si>
  <si>
    <t>PO-00513</t>
  </si>
  <si>
    <t>PO-00514</t>
  </si>
  <si>
    <t>PO-00515</t>
  </si>
  <si>
    <t>PO-00516</t>
  </si>
  <si>
    <t>PO-00517</t>
  </si>
  <si>
    <t>PO-00518</t>
  </si>
  <si>
    <t>PO-00519</t>
  </si>
  <si>
    <t>PO-00520</t>
  </si>
  <si>
    <t>PO-00521</t>
  </si>
  <si>
    <t>PO-00522</t>
  </si>
  <si>
    <t>PO-00523</t>
  </si>
  <si>
    <t>PO-00524</t>
  </si>
  <si>
    <t>PO-00525</t>
  </si>
  <si>
    <t>PO-00526</t>
  </si>
  <si>
    <t>PO-00527</t>
  </si>
  <si>
    <t>PO-00528</t>
  </si>
  <si>
    <t>PO-00529</t>
  </si>
  <si>
    <t>PO-00530</t>
  </si>
  <si>
    <t>PO-00531</t>
  </si>
  <si>
    <t>PO-00532</t>
  </si>
  <si>
    <t>PO-00533</t>
  </si>
  <si>
    <t>PO-00534</t>
  </si>
  <si>
    <t>PO-00535</t>
  </si>
  <si>
    <t>PO-00536</t>
  </si>
  <si>
    <t>PO-00537</t>
  </si>
  <si>
    <t>PO-00538</t>
  </si>
  <si>
    <t>PO-00539</t>
  </si>
  <si>
    <t>PO-00540</t>
  </si>
  <si>
    <t>PO-00541</t>
  </si>
  <si>
    <t>PO-00542</t>
  </si>
  <si>
    <t>PO-00543</t>
  </si>
  <si>
    <t>PO-00544</t>
  </si>
  <si>
    <t>PO-00545</t>
  </si>
  <si>
    <t>PO-00546</t>
  </si>
  <si>
    <t>PO-00547</t>
  </si>
  <si>
    <t>PO-00548</t>
  </si>
  <si>
    <t>PO-00549</t>
  </si>
  <si>
    <t>PO-00550</t>
  </si>
  <si>
    <t>PO-00551</t>
  </si>
  <si>
    <t>PO-00552</t>
  </si>
  <si>
    <t>PO-00553</t>
  </si>
  <si>
    <t>PO-00554</t>
  </si>
  <si>
    <t>PO-00555</t>
  </si>
  <si>
    <t>PO-00556</t>
  </si>
  <si>
    <t>PO-00557</t>
  </si>
  <si>
    <t>PO-00558</t>
  </si>
  <si>
    <t>PO-00559</t>
  </si>
  <si>
    <t>PO-00560</t>
  </si>
  <si>
    <t>PO-00561</t>
  </si>
  <si>
    <t>PO-00562</t>
  </si>
  <si>
    <t>PO-00563</t>
  </si>
  <si>
    <t>PO-00564</t>
  </si>
  <si>
    <t>PO-00565</t>
  </si>
  <si>
    <t>PO-00566</t>
  </si>
  <si>
    <t>PO-00567</t>
  </si>
  <si>
    <t>PO-00568</t>
  </si>
  <si>
    <t>PO-00569</t>
  </si>
  <si>
    <t>PO-00570</t>
  </si>
  <si>
    <t>PO-00571</t>
  </si>
  <si>
    <t>PO-00572</t>
  </si>
  <si>
    <t>PO-00573</t>
  </si>
  <si>
    <t>PO-00574</t>
  </si>
  <si>
    <t>PO-00575</t>
  </si>
  <si>
    <t>PO-00576</t>
  </si>
  <si>
    <t>PO-00577</t>
  </si>
  <si>
    <t>PO-00578</t>
  </si>
  <si>
    <t>PO-00579</t>
  </si>
  <si>
    <t>PO-00580</t>
  </si>
  <si>
    <t>PO-00581</t>
  </si>
  <si>
    <t>PO-00582</t>
  </si>
  <si>
    <t>PO-00583</t>
  </si>
  <si>
    <t>PO-00584</t>
  </si>
  <si>
    <t>PO-00585</t>
  </si>
  <si>
    <t>PO-00586</t>
  </si>
  <si>
    <t>PO-00587</t>
  </si>
  <si>
    <t>PO-00588</t>
  </si>
  <si>
    <t>PO-00589</t>
  </si>
  <si>
    <t>PO-00590</t>
  </si>
  <si>
    <t>PO-00591</t>
  </si>
  <si>
    <t>PO-00592</t>
  </si>
  <si>
    <t>PO-00593</t>
  </si>
  <si>
    <t>PO-00594</t>
  </si>
  <si>
    <t>PO-00595</t>
  </si>
  <si>
    <t>PO-00596</t>
  </si>
  <si>
    <t>PO-00597</t>
  </si>
  <si>
    <t>PO-00598</t>
  </si>
  <si>
    <t>PO-00599</t>
  </si>
  <si>
    <t>PO-00600</t>
  </si>
  <si>
    <t>PO-00601</t>
  </si>
  <si>
    <t>PO-00602</t>
  </si>
  <si>
    <t>PO-00603</t>
  </si>
  <si>
    <t>PO-00604</t>
  </si>
  <si>
    <t>PO-00605</t>
  </si>
  <si>
    <t>PO-00606</t>
  </si>
  <si>
    <t>PO-00607</t>
  </si>
  <si>
    <t>PO-00608</t>
  </si>
  <si>
    <t>PO-00609</t>
  </si>
  <si>
    <t>PO-00610</t>
  </si>
  <si>
    <t>PO-00611</t>
  </si>
  <si>
    <t>PO-00612</t>
  </si>
  <si>
    <t>PO-00613</t>
  </si>
  <si>
    <t>PO-00614</t>
  </si>
  <si>
    <t>PO-00615</t>
  </si>
  <si>
    <t>PO-00616</t>
  </si>
  <si>
    <t>PO-00617</t>
  </si>
  <si>
    <t>PO-00618</t>
  </si>
  <si>
    <t>PO-00619</t>
  </si>
  <si>
    <t>PO-00620</t>
  </si>
  <si>
    <t>PO-00621</t>
  </si>
  <si>
    <t>PO-00622</t>
  </si>
  <si>
    <t>PO-00623</t>
  </si>
  <si>
    <t>PO-00624</t>
  </si>
  <si>
    <t>PO-00625</t>
  </si>
  <si>
    <t>PO-00626</t>
  </si>
  <si>
    <t>PO-00627</t>
  </si>
  <si>
    <t>PO-00628</t>
  </si>
  <si>
    <t>PO-00629</t>
  </si>
  <si>
    <t>PO-00630</t>
  </si>
  <si>
    <t>PO-00631</t>
  </si>
  <si>
    <t>PO-00632</t>
  </si>
  <si>
    <t>PO-00633</t>
  </si>
  <si>
    <t>PO-00634</t>
  </si>
  <si>
    <t>PO-00635</t>
  </si>
  <si>
    <t>PO-00636</t>
  </si>
  <si>
    <t>PO-00637</t>
  </si>
  <si>
    <t>PO-00638</t>
  </si>
  <si>
    <t>PO-00639</t>
  </si>
  <si>
    <t>PO-00640</t>
  </si>
  <si>
    <t>PO-00641</t>
  </si>
  <si>
    <t>PO-00642</t>
  </si>
  <si>
    <t>PO-00643</t>
  </si>
  <si>
    <t>PO-00644</t>
  </si>
  <si>
    <t>PO-00645</t>
  </si>
  <si>
    <t>PO-00646</t>
  </si>
  <si>
    <t>PO-00647</t>
  </si>
  <si>
    <t>PO-00648</t>
  </si>
  <si>
    <t>PO-00649</t>
  </si>
  <si>
    <t>PO-00650</t>
  </si>
  <si>
    <t>PO-00651</t>
  </si>
  <si>
    <t>PO-00652</t>
  </si>
  <si>
    <t>PO-00653</t>
  </si>
  <si>
    <t>PO-00654</t>
  </si>
  <si>
    <t>PO-00655</t>
  </si>
  <si>
    <t>PO-00656</t>
  </si>
  <si>
    <t>PO-00657</t>
  </si>
  <si>
    <t>PO-00658</t>
  </si>
  <si>
    <t>PO-00659</t>
  </si>
  <si>
    <t>PO-00660</t>
  </si>
  <si>
    <t>PO-00661</t>
  </si>
  <si>
    <t>PO-00662</t>
  </si>
  <si>
    <t>PO-00663</t>
  </si>
  <si>
    <t>PO-00664</t>
  </si>
  <si>
    <t>PO-00665</t>
  </si>
  <si>
    <t>PO-00666</t>
  </si>
  <si>
    <t>PO-00667</t>
  </si>
  <si>
    <t>PO-00668</t>
  </si>
  <si>
    <t>PO-00669</t>
  </si>
  <si>
    <t>PO-00670</t>
  </si>
  <si>
    <t>PO-00671</t>
  </si>
  <si>
    <t>PO-00672</t>
  </si>
  <si>
    <t>PO-00673</t>
  </si>
  <si>
    <t>PO-00674</t>
  </si>
  <si>
    <t>PO-00675</t>
  </si>
  <si>
    <t>PO-00676</t>
  </si>
  <si>
    <t>PO-00677</t>
  </si>
  <si>
    <t>PO-00678</t>
  </si>
  <si>
    <t>PO-00679</t>
  </si>
  <si>
    <t>PO-00680</t>
  </si>
  <si>
    <t>PO-00681</t>
  </si>
  <si>
    <t>PO-00682</t>
  </si>
  <si>
    <t>PO-00683</t>
  </si>
  <si>
    <t>PO-00684</t>
  </si>
  <si>
    <t>PO-00685</t>
  </si>
  <si>
    <t>PO-00686</t>
  </si>
  <si>
    <t>PO-00687</t>
  </si>
  <si>
    <t>PO-00688</t>
  </si>
  <si>
    <t>PO-00689</t>
  </si>
  <si>
    <t>PO-00690</t>
  </si>
  <si>
    <t>PO-00691</t>
  </si>
  <si>
    <t>PO-00692</t>
  </si>
  <si>
    <t>PO-00693</t>
  </si>
  <si>
    <t>PO-00694</t>
  </si>
  <si>
    <t>PO-00695</t>
  </si>
  <si>
    <t>PO-00696</t>
  </si>
  <si>
    <t>PO-00697</t>
  </si>
  <si>
    <t>PO-00698</t>
  </si>
  <si>
    <t>PO-00699</t>
  </si>
  <si>
    <t>PO-00700</t>
  </si>
  <si>
    <t>PO-00701</t>
  </si>
  <si>
    <t>PO-00702</t>
  </si>
  <si>
    <t>PO-00703</t>
  </si>
  <si>
    <t>PO-00704</t>
  </si>
  <si>
    <t>PO-00705</t>
  </si>
  <si>
    <t>PO-00706</t>
  </si>
  <si>
    <t>PO-00707</t>
  </si>
  <si>
    <t>PO-00708</t>
  </si>
  <si>
    <t>PO-00709</t>
  </si>
  <si>
    <t>PO-00710</t>
  </si>
  <si>
    <t>PO-00711</t>
  </si>
  <si>
    <t>PO-00712</t>
  </si>
  <si>
    <t>PO-00713</t>
  </si>
  <si>
    <t>PO-00714</t>
  </si>
  <si>
    <t>PO-00715</t>
  </si>
  <si>
    <t>PO-00716</t>
  </si>
  <si>
    <t>PO-00717</t>
  </si>
  <si>
    <t>PO-00718</t>
  </si>
  <si>
    <t>PO-00719</t>
  </si>
  <si>
    <t>PO-00720</t>
  </si>
  <si>
    <t>PO-00721</t>
  </si>
  <si>
    <t>PO-00722</t>
  </si>
  <si>
    <t>PO-00723</t>
  </si>
  <si>
    <t>PO-00724</t>
  </si>
  <si>
    <t>PO-00725</t>
  </si>
  <si>
    <t>PO-00726</t>
  </si>
  <si>
    <t>PO-00727</t>
  </si>
  <si>
    <t>PO-00728</t>
  </si>
  <si>
    <t>PO-00729</t>
  </si>
  <si>
    <t>PO-00730</t>
  </si>
  <si>
    <t>PO-00731</t>
  </si>
  <si>
    <t>PO-00732</t>
  </si>
  <si>
    <t>PO-00733</t>
  </si>
  <si>
    <t>PO-00734</t>
  </si>
  <si>
    <t>PO-00735</t>
  </si>
  <si>
    <t>PO-00736</t>
  </si>
  <si>
    <t>PO-00737</t>
  </si>
  <si>
    <t>PO-00738</t>
  </si>
  <si>
    <t>PO-00739</t>
  </si>
  <si>
    <t>PO-00740</t>
  </si>
  <si>
    <t>PO-00741</t>
  </si>
  <si>
    <t>PO-00742</t>
  </si>
  <si>
    <t>PO-00743</t>
  </si>
  <si>
    <t>PO-00744</t>
  </si>
  <si>
    <t>PO-00745</t>
  </si>
  <si>
    <t>PO-00746</t>
  </si>
  <si>
    <t>PO-00747</t>
  </si>
  <si>
    <t>PO-00748</t>
  </si>
  <si>
    <t>PO-00749</t>
  </si>
  <si>
    <t>PO-00750</t>
  </si>
  <si>
    <t>PO-00751</t>
  </si>
  <si>
    <t>PO-00752</t>
  </si>
  <si>
    <t>PO-00753</t>
  </si>
  <si>
    <t>PO-00754</t>
  </si>
  <si>
    <t>PO-00755</t>
  </si>
  <si>
    <t>PO-00756</t>
  </si>
  <si>
    <t>PO-00757</t>
  </si>
  <si>
    <t>PO-00758</t>
  </si>
  <si>
    <t>PO-00759</t>
  </si>
  <si>
    <t>PO-00760</t>
  </si>
  <si>
    <t>PO-00761</t>
  </si>
  <si>
    <t>PO-00762</t>
  </si>
  <si>
    <t>PO-00763</t>
  </si>
  <si>
    <t>PO-00764</t>
  </si>
  <si>
    <t>PO-00765</t>
  </si>
  <si>
    <t>PO-00766</t>
  </si>
  <si>
    <t>PO-00767</t>
  </si>
  <si>
    <t>PO-00768</t>
  </si>
  <si>
    <t>PO-00769</t>
  </si>
  <si>
    <t>PO-00770</t>
  </si>
  <si>
    <t>PO-00771</t>
  </si>
  <si>
    <t>PO-00772</t>
  </si>
  <si>
    <t>PO-00773</t>
  </si>
  <si>
    <t>PO-00774</t>
  </si>
  <si>
    <t>PO-00775</t>
  </si>
  <si>
    <t>PO-00776</t>
  </si>
  <si>
    <t>PO-00777</t>
  </si>
  <si>
    <t xml:space="preserve"> Supplier_Name</t>
  </si>
  <si>
    <t xml:space="preserve"> Total_Orders</t>
  </si>
  <si>
    <t xml:space="preserve"> Delivered_Orders</t>
  </si>
  <si>
    <t xml:space="preserve"> Delivery_Rate</t>
  </si>
  <si>
    <t xml:space="preserve"> Avg_Defect_Rate</t>
  </si>
  <si>
    <t xml:space="preserve"> Quality_Score</t>
  </si>
  <si>
    <t xml:space="preserve"> Compliance_Rate</t>
  </si>
  <si>
    <t xml:space="preserve"> Final_Rating</t>
  </si>
  <si>
    <t>Product_ID</t>
  </si>
  <si>
    <t>Category</t>
  </si>
  <si>
    <t>Std_Cost</t>
  </si>
  <si>
    <t>Avg_Negotiated_Cost</t>
  </si>
  <si>
    <t>P001</t>
  </si>
  <si>
    <t>P002</t>
  </si>
  <si>
    <t>P003</t>
  </si>
  <si>
    <t>P004</t>
  </si>
  <si>
    <t>P005</t>
  </si>
  <si>
    <t>Location</t>
  </si>
  <si>
    <t>New York, USA</t>
  </si>
  <si>
    <t>Dubai, UAE</t>
  </si>
  <si>
    <t>Berlin, Germany</t>
  </si>
  <si>
    <t>London, UK</t>
  </si>
  <si>
    <t>Singapore</t>
  </si>
  <si>
    <t>PO_ID</t>
  </si>
  <si>
    <t>Supplier</t>
  </si>
  <si>
    <t>Order_Date</t>
  </si>
  <si>
    <t>Delivery_Date</t>
  </si>
  <si>
    <t>Item_Category</t>
  </si>
  <si>
    <t>Order_Status</t>
  </si>
  <si>
    <t>Quantity</t>
  </si>
  <si>
    <t>Unit_Price</t>
  </si>
  <si>
    <t>Negotiated_Price</t>
  </si>
  <si>
    <t>Defective_Units</t>
  </si>
  <si>
    <t>Compliance</t>
  </si>
  <si>
    <t>Supplier_Id</t>
  </si>
  <si>
    <t>Product_Id</t>
  </si>
  <si>
    <t>Delivery_Status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</si>
</sst>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164" fontId="0" fillId="2" borderId="2" xfId="0" applyNumberFormat="1" applyFill="1" applyBorder="1"/>
    <xf numFmtId="0" fontId="0" fillId="0" borderId="1" xfId="0" applyBorder="1"/>
    <xf numFmtId="0" fontId="0" fillId="0" borderId="2" xfId="0" applyBorder="1"/>
    <xf numFmtId="164" fontId="0" fillId="0" borderId="2" xfId="0" applyNumberFormat="1" applyBorder="1"/>
    <xf numFmtId="10" fontId="0" fillId="0" borderId="0" xfId="1" applyNumberFormat="1" applyFont="1"/>
    <xf numFmtId="9" fontId="0" fillId="0" borderId="0" xfId="1" applyFont="1"/>
    <xf numFmtId="0" fontId="0" fillId="0" borderId="0" xfId="0" applyAlignment="1">
      <alignment horizontal="center" vertical="center" wrapText="1"/>
    </xf>
    <xf numFmtId="2" fontId="0" fillId="0" borderId="0" xfId="0" applyNumberFormat="1"/>
  </cellXfs>
  <cellStyles count="2">
    <cellStyle name="Normal" xfId="0" builtinId="0"/>
    <cellStyle name="Percent" xfId="1" builtinId="5"/>
  </cellStyles>
  <dxfs count="13"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yyyy/mm/dd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yyyy/mm/dd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1A05C2-B257-4B58-AE32-D6877DFAB1C4}" name="Table1" displayName="Table1" ref="A1:N778" totalsRowShown="0" dataDxfId="12">
  <autoFilter ref="A1:N778" xr:uid="{FE1A05C2-B257-4B58-AE32-D6877DFAB1C4}"/>
  <tableColumns count="14">
    <tableColumn id="1" xr3:uid="{8EA183DE-CD23-4A66-A9FE-2318E4883A4A}" name="PO_ID" dataDxfId="11"/>
    <tableColumn id="2" xr3:uid="{73E8D931-B1AF-461C-8B6B-D7301348AACD}" name="Supplier" dataDxfId="10"/>
    <tableColumn id="3" xr3:uid="{0D75DC4B-67FB-4328-80A5-82D9D86C0451}" name="Order_Date" dataDxfId="9"/>
    <tableColumn id="4" xr3:uid="{2207873F-7EDD-4C72-938E-04104D56A2AE}" name="Delivery_Date" dataDxfId="8"/>
    <tableColumn id="5" xr3:uid="{2896C783-FDC2-41EE-A125-B7987297403A}" name="Item_Category" dataDxfId="7"/>
    <tableColumn id="6" xr3:uid="{A6433704-1B3E-4D70-97AF-E5DC348BB1E8}" name="Order_Status" dataDxfId="6"/>
    <tableColumn id="7" xr3:uid="{AB3CAB2B-C70D-40DF-8CAF-3BB08C51C4A5}" name="Quantity" dataDxfId="5"/>
    <tableColumn id="8" xr3:uid="{EFFEA744-0FEF-4296-8A00-839C23AA129B}" name="Unit_Price" dataDxfId="4"/>
    <tableColumn id="9" xr3:uid="{6B1489FC-580F-4054-A19A-EF76E77DF4FB}" name="Negotiated_Price" dataDxfId="3"/>
    <tableColumn id="10" xr3:uid="{DE14B5FC-2E67-480E-8B77-85AA56F4346A}" name="Defective_Units" dataDxfId="2"/>
    <tableColumn id="11" xr3:uid="{D0E89F0A-F367-4688-93E7-7EFDCCEB3D50}" name="Compliance" dataDxfId="1"/>
    <tableColumn id="12" xr3:uid="{A99779B4-DF11-4638-A6A9-A3B28042974F}" name="Delivery_Status" dataDxfId="0">
      <calculatedColumnFormula>IF(F2="Delivered", IF(E2="","Date Missing","Delivered"), F2)</calculatedColumnFormula>
    </tableColumn>
    <tableColumn id="13" xr3:uid="{D2D2F80E-38B3-41F4-8263-CB502C4E69AF}" name="Supplier_Id">
      <calculatedColumnFormula array="1">_xlfn.IFS(B2="Alpha_Inc","S001", B2="Delta_Logistics","S002", B2="Gamma_Co","S003", B2="Beta_Supplies","S004", B2="Epsilon_Group","S005")</calculatedColumnFormula>
    </tableColumn>
    <tableColumn id="14" xr3:uid="{89360486-7EAB-4253-A39C-1327B4F08D36}" name="Product_Id">
      <calculatedColumnFormula array="1">_xlfn.IFS(E2="Electronics","P001", E2="MRO","P002", E2="Office Supplies","P003", E2="Packaging","P004", E2="Raw Materials","P005")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8061-5B21-4E37-9155-655C144E4FD8}">
  <dimension ref="A1:N778"/>
  <sheetViews>
    <sheetView tabSelected="1" topLeftCell="C1" workbookViewId="0">
      <selection activeCell="N3" sqref="N2:N3"/>
    </sheetView>
  </sheetViews>
  <sheetFormatPr baseColWidth="10" defaultColWidth="8.83203125" defaultRowHeight="15" x14ac:dyDescent="0.2"/>
  <cols>
    <col min="1" max="1" width="9" bestFit="1" customWidth="1"/>
    <col min="2" max="2" width="13.33203125" bestFit="1" customWidth="1"/>
    <col min="3" max="3" width="12.5" customWidth="1"/>
    <col min="4" max="4" width="14.5" customWidth="1"/>
    <col min="5" max="5" width="15.33203125" customWidth="1"/>
    <col min="6" max="6" width="15.83203125" bestFit="1" customWidth="1"/>
    <col min="7" max="7" width="10.1640625" customWidth="1"/>
    <col min="8" max="8" width="11.5" customWidth="1"/>
    <col min="9" max="9" width="17.33203125" customWidth="1"/>
    <col min="10" max="10" width="16.1640625" customWidth="1"/>
    <col min="11" max="11" width="12.83203125" customWidth="1"/>
    <col min="12" max="12" width="15.83203125" customWidth="1"/>
    <col min="13" max="13" width="12.5" customWidth="1"/>
    <col min="14" max="14" width="12.1640625" customWidth="1"/>
  </cols>
  <sheetData>
    <row r="1" spans="1:14" x14ac:dyDescent="0.2">
      <c r="A1" t="s">
        <v>816</v>
      </c>
      <c r="B1" t="s">
        <v>817</v>
      </c>
      <c r="C1" t="s">
        <v>818</v>
      </c>
      <c r="D1" t="s">
        <v>819</v>
      </c>
      <c r="E1" t="s">
        <v>820</v>
      </c>
      <c r="F1" t="s">
        <v>821</v>
      </c>
      <c r="G1" t="s">
        <v>822</v>
      </c>
      <c r="H1" t="s">
        <v>823</v>
      </c>
      <c r="I1" t="s">
        <v>824</v>
      </c>
      <c r="J1" t="s">
        <v>825</v>
      </c>
      <c r="K1" t="s">
        <v>826</v>
      </c>
      <c r="L1" t="s">
        <v>829</v>
      </c>
      <c r="M1" t="s">
        <v>827</v>
      </c>
      <c r="N1" t="s">
        <v>828</v>
      </c>
    </row>
    <row r="2" spans="1:14" x14ac:dyDescent="0.2">
      <c r="A2" s="1" t="s">
        <v>0</v>
      </c>
      <c r="B2" s="2" t="s">
        <v>1</v>
      </c>
      <c r="C2" s="3">
        <v>45216</v>
      </c>
      <c r="D2" s="3">
        <v>45224</v>
      </c>
      <c r="E2" s="2" t="s">
        <v>2</v>
      </c>
      <c r="F2" s="2" t="s">
        <v>3</v>
      </c>
      <c r="G2" s="2">
        <v>1176</v>
      </c>
      <c r="H2" s="2">
        <v>20.13</v>
      </c>
      <c r="I2" s="2">
        <v>17.809999999999999</v>
      </c>
      <c r="J2" s="2">
        <v>0</v>
      </c>
      <c r="K2" s="2" t="s">
        <v>4</v>
      </c>
      <c r="L2" s="2" t="str">
        <f t="shared" ref="L2:L65" si="0">IF(F2="Delivered", IF(E2="","Date Missing","Delivered"), F2)</f>
        <v>Cancelled</v>
      </c>
      <c r="M2" t="str" cm="1">
        <f t="array" ref="M2">_xlfn.IFS(B2="Alpha_Inc","S001", B2="Delta_Logistics","S002", B2="Gamma_Co","S003", B2="Beta_Supplies","S004", B2="Epsilon_Group","S005")</f>
        <v>S001</v>
      </c>
      <c r="N2" t="str" cm="1">
        <f t="array" ref="N2">_xlfn.IFS(E2="Electronics","P001", E2="MRO","P002", E2="Office Supplies","P003", E2="Packaging","P004", E2="Raw Materials","P005")</f>
        <v>P003</v>
      </c>
    </row>
    <row r="3" spans="1:14" x14ac:dyDescent="0.2">
      <c r="A3" s="4" t="s">
        <v>5</v>
      </c>
      <c r="B3" s="5" t="s">
        <v>6</v>
      </c>
      <c r="C3" s="6">
        <v>44676</v>
      </c>
      <c r="D3" s="6">
        <v>44686</v>
      </c>
      <c r="E3" s="5" t="s">
        <v>2</v>
      </c>
      <c r="F3" s="5" t="s">
        <v>7</v>
      </c>
      <c r="G3" s="5">
        <v>1509</v>
      </c>
      <c r="H3" s="5">
        <v>39.32</v>
      </c>
      <c r="I3" s="5">
        <v>37.340000000000003</v>
      </c>
      <c r="J3" s="5">
        <v>235</v>
      </c>
      <c r="K3" s="5" t="s">
        <v>4</v>
      </c>
      <c r="L3" s="5" t="str">
        <f t="shared" si="0"/>
        <v>Delivered</v>
      </c>
      <c r="M3" t="str" cm="1">
        <f t="array" ref="M3">_xlfn.IFS(B3="Alpha_Inc","S001", B3="Delta_Logistics","S002", B3="Gamma_Co","S003", B3="Beta_Supplies","S004", B3="Epsilon_Group","S005")</f>
        <v>S002</v>
      </c>
      <c r="N3" t="str" cm="1">
        <f t="array" ref="N3">_xlfn.IFS(E3="Electronics","P001", E3="MRO","P002", E3="Office Supplies","P003", E3="Packaging","P004", E3="Raw Materials","P005")</f>
        <v>P003</v>
      </c>
    </row>
    <row r="4" spans="1:14" x14ac:dyDescent="0.2">
      <c r="A4" s="1" t="s">
        <v>8</v>
      </c>
      <c r="B4" s="2" t="s">
        <v>9</v>
      </c>
      <c r="C4" s="3">
        <v>44587</v>
      </c>
      <c r="D4" s="3">
        <v>44607</v>
      </c>
      <c r="E4" s="2" t="s">
        <v>10</v>
      </c>
      <c r="F4" s="2" t="s">
        <v>7</v>
      </c>
      <c r="G4" s="2">
        <v>910</v>
      </c>
      <c r="H4" s="2">
        <v>95.51</v>
      </c>
      <c r="I4" s="2">
        <v>92.26</v>
      </c>
      <c r="J4" s="2">
        <v>41</v>
      </c>
      <c r="K4" s="2" t="s">
        <v>4</v>
      </c>
      <c r="L4" s="2" t="str">
        <f t="shared" si="0"/>
        <v>Delivered</v>
      </c>
      <c r="M4" t="str" cm="1">
        <f t="array" ref="M4">_xlfn.IFS(B4="Alpha_Inc","S001", B4="Delta_Logistics","S002", B4="Gamma_Co","S003", B4="Beta_Supplies","S004", B4="Epsilon_Group","S005")</f>
        <v>S003</v>
      </c>
      <c r="N4" t="str" cm="1">
        <f t="array" ref="N4">_xlfn.IFS(E4="Electronics","P001", E4="MRO","P002", E4="Office Supplies","P003", E4="Packaging","P004", E4="Raw Materials","P005")</f>
        <v>P002</v>
      </c>
    </row>
    <row r="5" spans="1:14" x14ac:dyDescent="0.2">
      <c r="A5" s="4" t="s">
        <v>11</v>
      </c>
      <c r="B5" s="5" t="s">
        <v>12</v>
      </c>
      <c r="C5" s="6">
        <v>44843</v>
      </c>
      <c r="D5" s="6">
        <v>44862</v>
      </c>
      <c r="E5" s="5" t="s">
        <v>13</v>
      </c>
      <c r="F5" s="5" t="s">
        <v>7</v>
      </c>
      <c r="G5" s="5">
        <v>1344</v>
      </c>
      <c r="H5" s="5">
        <v>99.85</v>
      </c>
      <c r="I5" s="5">
        <v>95.52</v>
      </c>
      <c r="J5" s="5">
        <v>112</v>
      </c>
      <c r="K5" s="5" t="s">
        <v>4</v>
      </c>
      <c r="L5" s="5" t="str">
        <f t="shared" si="0"/>
        <v>Delivered</v>
      </c>
      <c r="M5" t="str" cm="1">
        <f t="array" ref="M5">_xlfn.IFS(B5="Alpha_Inc","S001", B5="Delta_Logistics","S002", B5="Gamma_Co","S003", B5="Beta_Supplies","S004", B5="Epsilon_Group","S005")</f>
        <v>S004</v>
      </c>
      <c r="N5" t="str" cm="1">
        <f t="array" ref="N5">_xlfn.IFS(E5="Electronics","P001", E5="MRO","P002", E5="Office Supplies","P003", E5="Packaging","P004", E5="Raw Materials","P005")</f>
        <v>P004</v>
      </c>
    </row>
    <row r="6" spans="1:14" x14ac:dyDescent="0.2">
      <c r="A6" s="1" t="s">
        <v>14</v>
      </c>
      <c r="B6" s="2" t="s">
        <v>6</v>
      </c>
      <c r="C6" s="3">
        <v>44812</v>
      </c>
      <c r="D6" s="3">
        <v>44824</v>
      </c>
      <c r="E6" s="2" t="s">
        <v>15</v>
      </c>
      <c r="F6" s="2" t="s">
        <v>7</v>
      </c>
      <c r="G6" s="2">
        <v>1180</v>
      </c>
      <c r="H6" s="2">
        <v>64.069999999999993</v>
      </c>
      <c r="I6" s="2">
        <v>60.53</v>
      </c>
      <c r="J6" s="2">
        <v>171</v>
      </c>
      <c r="K6" s="2" t="s">
        <v>16</v>
      </c>
      <c r="L6" s="2" t="str">
        <f t="shared" si="0"/>
        <v>Delivered</v>
      </c>
      <c r="M6" t="str" cm="1">
        <f t="array" ref="M6">_xlfn.IFS(B6="Alpha_Inc","S001", B6="Delta_Logistics","S002", B6="Gamma_Co","S003", B6="Beta_Supplies","S004", B6="Epsilon_Group","S005")</f>
        <v>S002</v>
      </c>
      <c r="N6" t="str" cm="1">
        <f t="array" ref="N6">_xlfn.IFS(E6="Electronics","P001", E6="MRO","P002", E6="Office Supplies","P003", E6="Packaging","P004", E6="Raw Materials","P005")</f>
        <v>P005</v>
      </c>
    </row>
    <row r="7" spans="1:14" x14ac:dyDescent="0.2">
      <c r="A7" s="4" t="s">
        <v>17</v>
      </c>
      <c r="B7" s="5" t="s">
        <v>18</v>
      </c>
      <c r="C7" s="6">
        <v>44790</v>
      </c>
      <c r="D7" s="6">
        <v>44802</v>
      </c>
      <c r="E7" s="5" t="s">
        <v>10</v>
      </c>
      <c r="F7" s="5" t="s">
        <v>7</v>
      </c>
      <c r="G7" s="5">
        <v>1145</v>
      </c>
      <c r="H7" s="5">
        <v>69.209999999999994</v>
      </c>
      <c r="I7" s="5">
        <v>63.57</v>
      </c>
      <c r="J7" s="5">
        <v>39</v>
      </c>
      <c r="K7" s="5" t="s">
        <v>4</v>
      </c>
      <c r="L7" s="5" t="str">
        <f t="shared" si="0"/>
        <v>Delivered</v>
      </c>
      <c r="M7" t="str" cm="1">
        <f t="array" ref="M7">_xlfn.IFS(B7="Alpha_Inc","S001", B7="Delta_Logistics","S002", B7="Gamma_Co","S003", B7="Beta_Supplies","S004", B7="Epsilon_Group","S005")</f>
        <v>S005</v>
      </c>
      <c r="N7" t="str" cm="1">
        <f t="array" ref="N7">_xlfn.IFS(E7="Electronics","P001", E7="MRO","P002", E7="Office Supplies","P003", E7="Packaging","P004", E7="Raw Materials","P005")</f>
        <v>P002</v>
      </c>
    </row>
    <row r="8" spans="1:14" x14ac:dyDescent="0.2">
      <c r="A8" s="1" t="s">
        <v>19</v>
      </c>
      <c r="B8" s="2" t="s">
        <v>9</v>
      </c>
      <c r="C8" s="3">
        <v>44704</v>
      </c>
      <c r="D8" s="3">
        <v>44715</v>
      </c>
      <c r="E8" s="2" t="s">
        <v>10</v>
      </c>
      <c r="F8" s="2" t="s">
        <v>7</v>
      </c>
      <c r="G8" s="2">
        <v>1774</v>
      </c>
      <c r="H8" s="2">
        <v>51.37</v>
      </c>
      <c r="I8" s="2">
        <v>47.82</v>
      </c>
      <c r="J8" s="2">
        <v>96</v>
      </c>
      <c r="K8" s="2" t="s">
        <v>16</v>
      </c>
      <c r="L8" s="2" t="str">
        <f t="shared" si="0"/>
        <v>Delivered</v>
      </c>
      <c r="M8" t="str" cm="1">
        <f t="array" ref="M8">_xlfn.IFS(B8="Alpha_Inc","S001", B8="Delta_Logistics","S002", B8="Gamma_Co","S003", B8="Beta_Supplies","S004", B8="Epsilon_Group","S005")</f>
        <v>S003</v>
      </c>
      <c r="N8" t="str" cm="1">
        <f t="array" ref="N8">_xlfn.IFS(E8="Electronics","P001", E8="MRO","P002", E8="Office Supplies","P003", E8="Packaging","P004", E8="Raw Materials","P005")</f>
        <v>P002</v>
      </c>
    </row>
    <row r="9" spans="1:14" x14ac:dyDescent="0.2">
      <c r="A9" s="4" t="s">
        <v>20</v>
      </c>
      <c r="B9" s="5" t="s">
        <v>1</v>
      </c>
      <c r="C9" s="6">
        <v>44666</v>
      </c>
      <c r="D9" s="6">
        <v>44680</v>
      </c>
      <c r="E9" s="5" t="s">
        <v>10</v>
      </c>
      <c r="F9" s="5" t="s">
        <v>7</v>
      </c>
      <c r="G9" s="5">
        <v>1094</v>
      </c>
      <c r="H9" s="5">
        <v>36.93</v>
      </c>
      <c r="I9" s="5">
        <v>32.78</v>
      </c>
      <c r="J9" s="5">
        <v>22</v>
      </c>
      <c r="K9" s="5" t="s">
        <v>4</v>
      </c>
      <c r="L9" s="5" t="str">
        <f t="shared" si="0"/>
        <v>Delivered</v>
      </c>
      <c r="M9" t="str" cm="1">
        <f t="array" ref="M9">_xlfn.IFS(B9="Alpha_Inc","S001", B9="Delta_Logistics","S002", B9="Gamma_Co","S003", B9="Beta_Supplies","S004", B9="Epsilon_Group","S005")</f>
        <v>S001</v>
      </c>
      <c r="N9" t="str" cm="1">
        <f t="array" ref="N9">_xlfn.IFS(E9="Electronics","P001", E9="MRO","P002", E9="Office Supplies","P003", E9="Packaging","P004", E9="Raw Materials","P005")</f>
        <v>P002</v>
      </c>
    </row>
    <row r="10" spans="1:14" x14ac:dyDescent="0.2">
      <c r="A10" s="1" t="s">
        <v>21</v>
      </c>
      <c r="B10" s="2" t="s">
        <v>9</v>
      </c>
      <c r="C10" s="3">
        <v>45254</v>
      </c>
      <c r="D10" s="3">
        <v>45258</v>
      </c>
      <c r="E10" s="2" t="s">
        <v>15</v>
      </c>
      <c r="F10" s="2" t="s">
        <v>22</v>
      </c>
      <c r="G10" s="2">
        <v>1688</v>
      </c>
      <c r="H10" s="2">
        <v>43.93</v>
      </c>
      <c r="I10" s="2">
        <v>39.89</v>
      </c>
      <c r="J10" s="2">
        <v>89</v>
      </c>
      <c r="K10" s="2" t="s">
        <v>4</v>
      </c>
      <c r="L10" s="2" t="str">
        <f t="shared" si="0"/>
        <v>Partially Delivered</v>
      </c>
      <c r="M10" t="str" cm="1">
        <f t="array" ref="M10">_xlfn.IFS(B10="Alpha_Inc","S001", B10="Delta_Logistics","S002", B10="Gamma_Co","S003", B10="Beta_Supplies","S004", B10="Epsilon_Group","S005")</f>
        <v>S003</v>
      </c>
      <c r="N10" t="str" cm="1">
        <f t="array" ref="N10">_xlfn.IFS(E10="Electronics","P001", E10="MRO","P002", E10="Office Supplies","P003", E10="Packaging","P004", E10="Raw Materials","P005")</f>
        <v>P005</v>
      </c>
    </row>
    <row r="11" spans="1:14" x14ac:dyDescent="0.2">
      <c r="A11" s="4" t="s">
        <v>23</v>
      </c>
      <c r="B11" s="5" t="s">
        <v>9</v>
      </c>
      <c r="C11" s="6">
        <v>45120</v>
      </c>
      <c r="D11" s="6">
        <v>45132</v>
      </c>
      <c r="E11" s="5" t="s">
        <v>15</v>
      </c>
      <c r="F11" s="5" t="s">
        <v>24</v>
      </c>
      <c r="G11" s="5">
        <v>171</v>
      </c>
      <c r="H11" s="5">
        <v>76.87</v>
      </c>
      <c r="I11" s="5">
        <v>70.2</v>
      </c>
      <c r="J11" s="5">
        <v>8</v>
      </c>
      <c r="K11" s="5" t="s">
        <v>4</v>
      </c>
      <c r="L11" s="5" t="str">
        <f t="shared" si="0"/>
        <v>Pending</v>
      </c>
      <c r="M11" t="str" cm="1">
        <f t="array" ref="M11">_xlfn.IFS(B11="Alpha_Inc","S001", B11="Delta_Logistics","S002", B11="Gamma_Co","S003", B11="Beta_Supplies","S004", B11="Epsilon_Group","S005")</f>
        <v>S003</v>
      </c>
      <c r="N11" t="str" cm="1">
        <f t="array" ref="N11">_xlfn.IFS(E11="Electronics","P001", E11="MRO","P002", E11="Office Supplies","P003", E11="Packaging","P004", E11="Raw Materials","P005")</f>
        <v>P005</v>
      </c>
    </row>
    <row r="12" spans="1:14" x14ac:dyDescent="0.2">
      <c r="A12" s="1" t="s">
        <v>25</v>
      </c>
      <c r="B12" s="2" t="s">
        <v>18</v>
      </c>
      <c r="C12" s="3">
        <v>44651</v>
      </c>
      <c r="D12" s="3">
        <v>44666</v>
      </c>
      <c r="E12" s="2" t="s">
        <v>15</v>
      </c>
      <c r="F12" s="2" t="s">
        <v>7</v>
      </c>
      <c r="G12" s="2">
        <v>5000</v>
      </c>
      <c r="H12" s="2">
        <v>78.489999999999995</v>
      </c>
      <c r="I12" s="2">
        <v>73.680000000000007</v>
      </c>
      <c r="J12" s="2">
        <v>18</v>
      </c>
      <c r="K12" s="2" t="s">
        <v>4</v>
      </c>
      <c r="L12" s="2" t="str">
        <f t="shared" si="0"/>
        <v>Delivered</v>
      </c>
      <c r="M12" t="str" cm="1">
        <f t="array" ref="M12">_xlfn.IFS(B12="Alpha_Inc","S001", B12="Delta_Logistics","S002", B12="Gamma_Co","S003", B12="Beta_Supplies","S004", B12="Epsilon_Group","S005")</f>
        <v>S005</v>
      </c>
      <c r="N12" t="str" cm="1">
        <f t="array" ref="N12">_xlfn.IFS(E12="Electronics","P001", E12="MRO","P002", E12="Office Supplies","P003", E12="Packaging","P004", E12="Raw Materials","P005")</f>
        <v>P005</v>
      </c>
    </row>
    <row r="13" spans="1:14" x14ac:dyDescent="0.2">
      <c r="A13" s="4" t="s">
        <v>26</v>
      </c>
      <c r="B13" s="5" t="s">
        <v>12</v>
      </c>
      <c r="C13" s="6">
        <v>45166</v>
      </c>
      <c r="D13" s="6">
        <v>45180</v>
      </c>
      <c r="E13" s="5" t="s">
        <v>15</v>
      </c>
      <c r="F13" s="5" t="s">
        <v>7</v>
      </c>
      <c r="G13" s="5">
        <v>5000</v>
      </c>
      <c r="H13" s="5">
        <v>88.96</v>
      </c>
      <c r="I13" s="5">
        <v>86.58</v>
      </c>
      <c r="J13" s="5">
        <v>115</v>
      </c>
      <c r="K13" s="5" t="s">
        <v>4</v>
      </c>
      <c r="L13" s="5" t="str">
        <f t="shared" si="0"/>
        <v>Delivered</v>
      </c>
      <c r="M13" t="str" cm="1">
        <f t="array" ref="M13">_xlfn.IFS(B13="Alpha_Inc","S001", B13="Delta_Logistics","S002", B13="Gamma_Co","S003", B13="Beta_Supplies","S004", B13="Epsilon_Group","S005")</f>
        <v>S004</v>
      </c>
      <c r="N13" t="str" cm="1">
        <f t="array" ref="N13">_xlfn.IFS(E13="Electronics","P001", E13="MRO","P002", E13="Office Supplies","P003", E13="Packaging","P004", E13="Raw Materials","P005")</f>
        <v>P005</v>
      </c>
    </row>
    <row r="14" spans="1:14" x14ac:dyDescent="0.2">
      <c r="A14" s="1" t="s">
        <v>27</v>
      </c>
      <c r="B14" s="2" t="s">
        <v>12</v>
      </c>
      <c r="C14" s="3">
        <v>44994</v>
      </c>
      <c r="D14" s="3">
        <v>45011</v>
      </c>
      <c r="E14" s="2" t="s">
        <v>28</v>
      </c>
      <c r="F14" s="2" t="s">
        <v>24</v>
      </c>
      <c r="G14" s="2">
        <v>5000</v>
      </c>
      <c r="H14" s="2">
        <v>86.74</v>
      </c>
      <c r="I14" s="2">
        <v>74.86</v>
      </c>
      <c r="J14" s="2">
        <v>51</v>
      </c>
      <c r="K14" s="2" t="s">
        <v>4</v>
      </c>
      <c r="L14" s="2" t="str">
        <f t="shared" si="0"/>
        <v>Pending</v>
      </c>
      <c r="M14" t="str" cm="1">
        <f t="array" ref="M14">_xlfn.IFS(B14="Alpha_Inc","S001", B14="Delta_Logistics","S002", B14="Gamma_Co","S003", B14="Beta_Supplies","S004", B14="Epsilon_Group","S005")</f>
        <v>S004</v>
      </c>
      <c r="N14" t="str" cm="1">
        <f t="array" ref="N14">_xlfn.IFS(E14="Electronics","P001", E14="MRO","P002", E14="Office Supplies","P003", E14="Packaging","P004", E14="Raw Materials","P005")</f>
        <v>P001</v>
      </c>
    </row>
    <row r="15" spans="1:14" x14ac:dyDescent="0.2">
      <c r="A15" s="4" t="s">
        <v>29</v>
      </c>
      <c r="B15" s="5" t="s">
        <v>12</v>
      </c>
      <c r="C15" s="6">
        <v>44594</v>
      </c>
      <c r="D15" s="6">
        <f>Table1[[#This Row],[Order_Date]]+14</f>
        <v>44608</v>
      </c>
      <c r="E15" s="5" t="s">
        <v>10</v>
      </c>
      <c r="F15" s="5" t="s">
        <v>7</v>
      </c>
      <c r="G15" s="5">
        <v>5000</v>
      </c>
      <c r="H15" s="5">
        <v>18.3</v>
      </c>
      <c r="I15" s="5">
        <v>16.88</v>
      </c>
      <c r="J15" s="5">
        <v>0</v>
      </c>
      <c r="K15" s="5" t="s">
        <v>4</v>
      </c>
      <c r="L15" s="5" t="str">
        <f t="shared" si="0"/>
        <v>Delivered</v>
      </c>
      <c r="M15" t="str" cm="1">
        <f t="array" ref="M15">_xlfn.IFS(B15="Alpha_Inc","S001", B15="Delta_Logistics","S002", B15="Gamma_Co","S003", B15="Beta_Supplies","S004", B15="Epsilon_Group","S005")</f>
        <v>S004</v>
      </c>
      <c r="N15" t="str" cm="1">
        <f t="array" ref="N15">_xlfn.IFS(E15="Electronics","P001", E15="MRO","P002", E15="Office Supplies","P003", E15="Packaging","P004", E15="Raw Materials","P005")</f>
        <v>P002</v>
      </c>
    </row>
    <row r="16" spans="1:14" x14ac:dyDescent="0.2">
      <c r="A16" s="1" t="s">
        <v>30</v>
      </c>
      <c r="B16" s="2" t="s">
        <v>6</v>
      </c>
      <c r="C16" s="3">
        <v>44592</v>
      </c>
      <c r="D16" s="3">
        <v>44610</v>
      </c>
      <c r="E16" s="2" t="s">
        <v>28</v>
      </c>
      <c r="F16" s="2" t="s">
        <v>24</v>
      </c>
      <c r="G16" s="2">
        <v>5000</v>
      </c>
      <c r="H16" s="2">
        <v>54.5</v>
      </c>
      <c r="I16" s="2">
        <v>48.45</v>
      </c>
      <c r="J16" s="2">
        <v>22</v>
      </c>
      <c r="K16" s="2" t="s">
        <v>4</v>
      </c>
      <c r="L16" s="2" t="str">
        <f t="shared" si="0"/>
        <v>Pending</v>
      </c>
      <c r="M16" t="str" cm="1">
        <f t="array" ref="M16">_xlfn.IFS(B16="Alpha_Inc","S001", B16="Delta_Logistics","S002", B16="Gamma_Co","S003", B16="Beta_Supplies","S004", B16="Epsilon_Group","S005")</f>
        <v>S002</v>
      </c>
      <c r="N16" t="str" cm="1">
        <f t="array" ref="N16">_xlfn.IFS(E16="Electronics","P001", E16="MRO","P002", E16="Office Supplies","P003", E16="Packaging","P004", E16="Raw Materials","P005")</f>
        <v>P001</v>
      </c>
    </row>
    <row r="17" spans="1:14" x14ac:dyDescent="0.2">
      <c r="A17" s="4" t="s">
        <v>31</v>
      </c>
      <c r="B17" s="5" t="s">
        <v>12</v>
      </c>
      <c r="C17" s="6">
        <v>44657</v>
      </c>
      <c r="D17" s="6">
        <v>44672</v>
      </c>
      <c r="E17" s="5" t="s">
        <v>13</v>
      </c>
      <c r="F17" s="5" t="s">
        <v>7</v>
      </c>
      <c r="G17" s="5">
        <v>5000</v>
      </c>
      <c r="H17" s="5">
        <v>15.41</v>
      </c>
      <c r="I17" s="5">
        <v>15.12</v>
      </c>
      <c r="J17" s="5">
        <v>0</v>
      </c>
      <c r="K17" s="5" t="s">
        <v>4</v>
      </c>
      <c r="L17" s="5" t="str">
        <f t="shared" si="0"/>
        <v>Delivered</v>
      </c>
      <c r="M17" t="str" cm="1">
        <f t="array" ref="M17">_xlfn.IFS(B17="Alpha_Inc","S001", B17="Delta_Logistics","S002", B17="Gamma_Co","S003", B17="Beta_Supplies","S004", B17="Epsilon_Group","S005")</f>
        <v>S004</v>
      </c>
      <c r="N17" t="str" cm="1">
        <f t="array" ref="N17">_xlfn.IFS(E17="Electronics","P001", E17="MRO","P002", E17="Office Supplies","P003", E17="Packaging","P004", E17="Raw Materials","P005")</f>
        <v>P004</v>
      </c>
    </row>
    <row r="18" spans="1:14" x14ac:dyDescent="0.2">
      <c r="A18" s="1" t="s">
        <v>32</v>
      </c>
      <c r="B18" s="2" t="s">
        <v>6</v>
      </c>
      <c r="C18" s="3">
        <v>44785</v>
      </c>
      <c r="D18" s="3">
        <v>44804</v>
      </c>
      <c r="E18" s="2" t="s">
        <v>10</v>
      </c>
      <c r="F18" s="2" t="s">
        <v>7</v>
      </c>
      <c r="G18" s="2">
        <v>1173</v>
      </c>
      <c r="H18" s="2">
        <v>61.54</v>
      </c>
      <c r="I18" s="2">
        <v>55.49</v>
      </c>
      <c r="J18" s="2">
        <v>172</v>
      </c>
      <c r="K18" s="2" t="s">
        <v>16</v>
      </c>
      <c r="L18" s="2" t="str">
        <f t="shared" si="0"/>
        <v>Delivered</v>
      </c>
      <c r="M18" t="str" cm="1">
        <f t="array" ref="M18">_xlfn.IFS(B18="Alpha_Inc","S001", B18="Delta_Logistics","S002", B18="Gamma_Co","S003", B18="Beta_Supplies","S004", B18="Epsilon_Group","S005")</f>
        <v>S002</v>
      </c>
      <c r="N18" t="str" cm="1">
        <f t="array" ref="N18">_xlfn.IFS(E18="Electronics","P001", E18="MRO","P002", E18="Office Supplies","P003", E18="Packaging","P004", E18="Raw Materials","P005")</f>
        <v>P002</v>
      </c>
    </row>
    <row r="19" spans="1:14" x14ac:dyDescent="0.2">
      <c r="A19" s="4" t="s">
        <v>33</v>
      </c>
      <c r="B19" s="5" t="s">
        <v>18</v>
      </c>
      <c r="C19" s="6">
        <v>44800</v>
      </c>
      <c r="D19" s="6">
        <v>44808</v>
      </c>
      <c r="E19" s="5" t="s">
        <v>15</v>
      </c>
      <c r="F19" s="5" t="s">
        <v>7</v>
      </c>
      <c r="G19" s="5">
        <v>921</v>
      </c>
      <c r="H19" s="5">
        <v>51.48</v>
      </c>
      <c r="I19" s="5">
        <v>50.61</v>
      </c>
      <c r="J19" s="5">
        <v>0</v>
      </c>
      <c r="K19" s="5" t="s">
        <v>4</v>
      </c>
      <c r="L19" s="5" t="str">
        <f t="shared" si="0"/>
        <v>Delivered</v>
      </c>
      <c r="M19" t="str" cm="1">
        <f t="array" ref="M19">_xlfn.IFS(B19="Alpha_Inc","S001", B19="Delta_Logistics","S002", B19="Gamma_Co","S003", B19="Beta_Supplies","S004", B19="Epsilon_Group","S005")</f>
        <v>S005</v>
      </c>
      <c r="N19" t="str" cm="1">
        <f t="array" ref="N19">_xlfn.IFS(E19="Electronics","P001", E19="MRO","P002", E19="Office Supplies","P003", E19="Packaging","P004", E19="Raw Materials","P005")</f>
        <v>P005</v>
      </c>
    </row>
    <row r="20" spans="1:14" x14ac:dyDescent="0.2">
      <c r="A20" s="1" t="s">
        <v>34</v>
      </c>
      <c r="B20" s="2" t="s">
        <v>9</v>
      </c>
      <c r="C20" s="3">
        <v>45079</v>
      </c>
      <c r="D20" s="3">
        <v>45082</v>
      </c>
      <c r="E20" s="2" t="s">
        <v>15</v>
      </c>
      <c r="F20" s="2" t="s">
        <v>22</v>
      </c>
      <c r="G20" s="2">
        <v>1737</v>
      </c>
      <c r="H20" s="2">
        <v>97.53</v>
      </c>
      <c r="I20" s="2">
        <v>87.37</v>
      </c>
      <c r="J20" s="2">
        <v>79</v>
      </c>
      <c r="K20" s="2" t="s">
        <v>4</v>
      </c>
      <c r="L20" s="2" t="str">
        <f t="shared" si="0"/>
        <v>Partially Delivered</v>
      </c>
      <c r="M20" t="str" cm="1">
        <f t="array" ref="M20">_xlfn.IFS(B20="Alpha_Inc","S001", B20="Delta_Logistics","S002", B20="Gamma_Co","S003", B20="Beta_Supplies","S004", B20="Epsilon_Group","S005")</f>
        <v>S003</v>
      </c>
      <c r="N20" t="str" cm="1">
        <f t="array" ref="N20">_xlfn.IFS(E20="Electronics","P001", E20="MRO","P002", E20="Office Supplies","P003", E20="Packaging","P004", E20="Raw Materials","P005")</f>
        <v>P005</v>
      </c>
    </row>
    <row r="21" spans="1:14" x14ac:dyDescent="0.2">
      <c r="A21" s="4" t="s">
        <v>35</v>
      </c>
      <c r="B21" s="5" t="s">
        <v>6</v>
      </c>
      <c r="C21" s="6">
        <v>45178</v>
      </c>
      <c r="D21" s="6">
        <v>45193</v>
      </c>
      <c r="E21" s="5" t="s">
        <v>15</v>
      </c>
      <c r="F21" s="5" t="s">
        <v>7</v>
      </c>
      <c r="G21" s="5">
        <v>180</v>
      </c>
      <c r="H21" s="5">
        <v>45.74</v>
      </c>
      <c r="I21" s="5">
        <v>38.89</v>
      </c>
      <c r="J21" s="5">
        <v>0</v>
      </c>
      <c r="K21" s="5" t="s">
        <v>16</v>
      </c>
      <c r="L21" s="5" t="str">
        <f t="shared" si="0"/>
        <v>Delivered</v>
      </c>
      <c r="M21" t="str" cm="1">
        <f t="array" ref="M21">_xlfn.IFS(B21="Alpha_Inc","S001", B21="Delta_Logistics","S002", B21="Gamma_Co","S003", B21="Beta_Supplies","S004", B21="Epsilon_Group","S005")</f>
        <v>S002</v>
      </c>
      <c r="N21" t="str" cm="1">
        <f t="array" ref="N21">_xlfn.IFS(E21="Electronics","P001", E21="MRO","P002", E21="Office Supplies","P003", E21="Packaging","P004", E21="Raw Materials","P005")</f>
        <v>P005</v>
      </c>
    </row>
    <row r="22" spans="1:14" x14ac:dyDescent="0.2">
      <c r="A22" s="1" t="s">
        <v>36</v>
      </c>
      <c r="B22" s="2" t="s">
        <v>18</v>
      </c>
      <c r="C22" s="3">
        <v>44589</v>
      </c>
      <c r="D22" s="3">
        <v>44604</v>
      </c>
      <c r="E22" s="2" t="s">
        <v>28</v>
      </c>
      <c r="F22" s="2" t="s">
        <v>3</v>
      </c>
      <c r="G22" s="2">
        <v>1735</v>
      </c>
      <c r="H22" s="2">
        <v>20.54</v>
      </c>
      <c r="I22" s="2">
        <v>19.690000000000001</v>
      </c>
      <c r="J22" s="2">
        <v>49</v>
      </c>
      <c r="K22" s="2" t="s">
        <v>4</v>
      </c>
      <c r="L22" s="2" t="str">
        <f t="shared" si="0"/>
        <v>Cancelled</v>
      </c>
      <c r="M22" t="str" cm="1">
        <f t="array" ref="M22">_xlfn.IFS(B22="Alpha_Inc","S001", B22="Delta_Logistics","S002", B22="Gamma_Co","S003", B22="Beta_Supplies","S004", B22="Epsilon_Group","S005")</f>
        <v>S005</v>
      </c>
      <c r="N22" t="str" cm="1">
        <f t="array" ref="N22">_xlfn.IFS(E22="Electronics","P001", E22="MRO","P002", E22="Office Supplies","P003", E22="Packaging","P004", E22="Raw Materials","P005")</f>
        <v>P001</v>
      </c>
    </row>
    <row r="23" spans="1:14" x14ac:dyDescent="0.2">
      <c r="A23" s="4" t="s">
        <v>37</v>
      </c>
      <c r="B23" s="5" t="s">
        <v>6</v>
      </c>
      <c r="C23" s="6">
        <v>45136</v>
      </c>
      <c r="D23" s="6">
        <v>45149</v>
      </c>
      <c r="E23" s="5" t="s">
        <v>15</v>
      </c>
      <c r="F23" s="5" t="s">
        <v>7</v>
      </c>
      <c r="G23" s="5">
        <v>1382</v>
      </c>
      <c r="H23" s="5">
        <v>24.93</v>
      </c>
      <c r="I23" s="5">
        <v>23.75</v>
      </c>
      <c r="J23" s="5">
        <v>0</v>
      </c>
      <c r="K23" s="5" t="s">
        <v>4</v>
      </c>
      <c r="L23" s="5" t="str">
        <f t="shared" si="0"/>
        <v>Delivered</v>
      </c>
      <c r="M23" t="str" cm="1">
        <f t="array" ref="M23">_xlfn.IFS(B23="Alpha_Inc","S001", B23="Delta_Logistics","S002", B23="Gamma_Co","S003", B23="Beta_Supplies","S004", B23="Epsilon_Group","S005")</f>
        <v>S002</v>
      </c>
      <c r="N23" t="str" cm="1">
        <f t="array" ref="N23">_xlfn.IFS(E23="Electronics","P001", E23="MRO","P002", E23="Office Supplies","P003", E23="Packaging","P004", E23="Raw Materials","P005")</f>
        <v>P005</v>
      </c>
    </row>
    <row r="24" spans="1:14" x14ac:dyDescent="0.2">
      <c r="A24" s="1" t="s">
        <v>38</v>
      </c>
      <c r="B24" s="2" t="s">
        <v>18</v>
      </c>
      <c r="C24" s="3">
        <v>44765</v>
      </c>
      <c r="D24" s="3">
        <v>44781</v>
      </c>
      <c r="E24" s="2" t="s">
        <v>10</v>
      </c>
      <c r="F24" s="2" t="s">
        <v>7</v>
      </c>
      <c r="G24" s="2">
        <v>819</v>
      </c>
      <c r="H24" s="2">
        <v>80.89</v>
      </c>
      <c r="I24" s="2">
        <v>77.03</v>
      </c>
      <c r="J24" s="2">
        <v>29</v>
      </c>
      <c r="K24" s="2" t="s">
        <v>4</v>
      </c>
      <c r="L24" s="2" t="str">
        <f t="shared" si="0"/>
        <v>Delivered</v>
      </c>
      <c r="M24" t="str" cm="1">
        <f t="array" ref="M24">_xlfn.IFS(B24="Alpha_Inc","S001", B24="Delta_Logistics","S002", B24="Gamma_Co","S003", B24="Beta_Supplies","S004", B24="Epsilon_Group","S005")</f>
        <v>S005</v>
      </c>
      <c r="N24" t="str" cm="1">
        <f t="array" ref="N24">_xlfn.IFS(E24="Electronics","P001", E24="MRO","P002", E24="Office Supplies","P003", E24="Packaging","P004", E24="Raw Materials","P005")</f>
        <v>P002</v>
      </c>
    </row>
    <row r="25" spans="1:14" x14ac:dyDescent="0.2">
      <c r="A25" s="4" t="s">
        <v>39</v>
      </c>
      <c r="B25" s="5" t="s">
        <v>12</v>
      </c>
      <c r="C25" s="6">
        <v>45227</v>
      </c>
      <c r="D25" s="6">
        <v>45233</v>
      </c>
      <c r="E25" s="5" t="s">
        <v>2</v>
      </c>
      <c r="F25" s="5" t="s">
        <v>22</v>
      </c>
      <c r="G25" s="5">
        <v>393</v>
      </c>
      <c r="H25" s="5">
        <v>72.53</v>
      </c>
      <c r="I25" s="5">
        <v>66.31</v>
      </c>
      <c r="J25" s="5">
        <v>42</v>
      </c>
      <c r="K25" s="5" t="s">
        <v>16</v>
      </c>
      <c r="L25" s="5" t="str">
        <f t="shared" si="0"/>
        <v>Partially Delivered</v>
      </c>
      <c r="M25" t="str" cm="1">
        <f t="array" ref="M25">_xlfn.IFS(B25="Alpha_Inc","S001", B25="Delta_Logistics","S002", B25="Gamma_Co","S003", B25="Beta_Supplies","S004", B25="Epsilon_Group","S005")</f>
        <v>S004</v>
      </c>
      <c r="N25" t="str" cm="1">
        <f t="array" ref="N25">_xlfn.IFS(E25="Electronics","P001", E25="MRO","P002", E25="Office Supplies","P003", E25="Packaging","P004", E25="Raw Materials","P005")</f>
        <v>P003</v>
      </c>
    </row>
    <row r="26" spans="1:14" x14ac:dyDescent="0.2">
      <c r="A26" s="1" t="s">
        <v>40</v>
      </c>
      <c r="B26" s="2" t="s">
        <v>12</v>
      </c>
      <c r="C26" s="3">
        <v>45280</v>
      </c>
      <c r="D26" s="3">
        <v>45292</v>
      </c>
      <c r="E26" s="2" t="s">
        <v>10</v>
      </c>
      <c r="F26" s="2" t="s">
        <v>7</v>
      </c>
      <c r="G26" s="2">
        <v>1565</v>
      </c>
      <c r="H26" s="2">
        <v>21.3</v>
      </c>
      <c r="I26" s="2">
        <v>20.09</v>
      </c>
      <c r="J26" s="2">
        <v>161</v>
      </c>
      <c r="K26" s="2" t="s">
        <v>4</v>
      </c>
      <c r="L26" s="2" t="str">
        <f t="shared" si="0"/>
        <v>Delivered</v>
      </c>
      <c r="M26" t="str" cm="1">
        <f t="array" ref="M26">_xlfn.IFS(B26="Alpha_Inc","S001", B26="Delta_Logistics","S002", B26="Gamma_Co","S003", B26="Beta_Supplies","S004", B26="Epsilon_Group","S005")</f>
        <v>S004</v>
      </c>
      <c r="N26" t="str" cm="1">
        <f t="array" ref="N26">_xlfn.IFS(E26="Electronics","P001", E26="MRO","P002", E26="Office Supplies","P003", E26="Packaging","P004", E26="Raw Materials","P005")</f>
        <v>P002</v>
      </c>
    </row>
    <row r="27" spans="1:14" x14ac:dyDescent="0.2">
      <c r="A27" s="4" t="s">
        <v>41</v>
      </c>
      <c r="B27" s="5" t="s">
        <v>18</v>
      </c>
      <c r="C27" s="6">
        <v>45120</v>
      </c>
      <c r="D27" s="6">
        <v>45131</v>
      </c>
      <c r="E27" s="5" t="s">
        <v>13</v>
      </c>
      <c r="F27" s="5" t="s">
        <v>7</v>
      </c>
      <c r="G27" s="5">
        <v>1487</v>
      </c>
      <c r="H27" s="5">
        <v>19.149999999999999</v>
      </c>
      <c r="I27" s="5">
        <v>17.239999999999998</v>
      </c>
      <c r="J27" s="5">
        <v>0</v>
      </c>
      <c r="K27" s="5" t="s">
        <v>4</v>
      </c>
      <c r="L27" s="5" t="str">
        <f t="shared" si="0"/>
        <v>Delivered</v>
      </c>
      <c r="M27" t="str" cm="1">
        <f t="array" ref="M27">_xlfn.IFS(B27="Alpha_Inc","S001", B27="Delta_Logistics","S002", B27="Gamma_Co","S003", B27="Beta_Supplies","S004", B27="Epsilon_Group","S005")</f>
        <v>S005</v>
      </c>
      <c r="N27" t="str" cm="1">
        <f t="array" ref="N27">_xlfn.IFS(E27="Electronics","P001", E27="MRO","P002", E27="Office Supplies","P003", E27="Packaging","P004", E27="Raw Materials","P005")</f>
        <v>P004</v>
      </c>
    </row>
    <row r="28" spans="1:14" x14ac:dyDescent="0.2">
      <c r="A28" s="1" t="s">
        <v>42</v>
      </c>
      <c r="B28" s="2" t="s">
        <v>1</v>
      </c>
      <c r="C28" s="3">
        <v>44991</v>
      </c>
      <c r="D28" s="3">
        <v>45011</v>
      </c>
      <c r="E28" s="2" t="s">
        <v>10</v>
      </c>
      <c r="F28" s="2" t="s">
        <v>7</v>
      </c>
      <c r="G28" s="2">
        <v>855</v>
      </c>
      <c r="H28" s="2">
        <v>78.2</v>
      </c>
      <c r="I28" s="2">
        <v>67.16</v>
      </c>
      <c r="J28" s="2">
        <v>17</v>
      </c>
      <c r="K28" s="2" t="s">
        <v>4</v>
      </c>
      <c r="L28" s="2" t="str">
        <f t="shared" si="0"/>
        <v>Delivered</v>
      </c>
      <c r="M28" t="str" cm="1">
        <f t="array" ref="M28">_xlfn.IFS(B28="Alpha_Inc","S001", B28="Delta_Logistics","S002", B28="Gamma_Co","S003", B28="Beta_Supplies","S004", B28="Epsilon_Group","S005")</f>
        <v>S001</v>
      </c>
      <c r="N28" t="str" cm="1">
        <f t="array" ref="N28">_xlfn.IFS(E28="Electronics","P001", E28="MRO","P002", E28="Office Supplies","P003", E28="Packaging","P004", E28="Raw Materials","P005")</f>
        <v>P002</v>
      </c>
    </row>
    <row r="29" spans="1:14" x14ac:dyDescent="0.2">
      <c r="A29" s="4" t="s">
        <v>43</v>
      </c>
      <c r="B29" s="5" t="s">
        <v>18</v>
      </c>
      <c r="C29" s="6">
        <v>44787</v>
      </c>
      <c r="D29" s="6">
        <v>44796</v>
      </c>
      <c r="E29" s="5" t="s">
        <v>15</v>
      </c>
      <c r="F29" s="5" t="s">
        <v>7</v>
      </c>
      <c r="G29" s="5">
        <v>435</v>
      </c>
      <c r="H29" s="5">
        <v>17.13</v>
      </c>
      <c r="I29" s="5">
        <v>15.84</v>
      </c>
      <c r="J29" s="5">
        <v>8</v>
      </c>
      <c r="K29" s="5" t="s">
        <v>4</v>
      </c>
      <c r="L29" s="5" t="str">
        <f t="shared" si="0"/>
        <v>Delivered</v>
      </c>
      <c r="M29" t="str" cm="1">
        <f t="array" ref="M29">_xlfn.IFS(B29="Alpha_Inc","S001", B29="Delta_Logistics","S002", B29="Gamma_Co","S003", B29="Beta_Supplies","S004", B29="Epsilon_Group","S005")</f>
        <v>S005</v>
      </c>
      <c r="N29" t="str" cm="1">
        <f t="array" ref="N29">_xlfn.IFS(E29="Electronics","P001", E29="MRO","P002", E29="Office Supplies","P003", E29="Packaging","P004", E29="Raw Materials","P005")</f>
        <v>P005</v>
      </c>
    </row>
    <row r="30" spans="1:14" x14ac:dyDescent="0.2">
      <c r="A30" s="1" t="s">
        <v>44</v>
      </c>
      <c r="B30" s="2" t="s">
        <v>6</v>
      </c>
      <c r="C30" s="3">
        <v>45021</v>
      </c>
      <c r="D30" s="3">
        <v>45038</v>
      </c>
      <c r="E30" s="2" t="s">
        <v>10</v>
      </c>
      <c r="F30" s="2" t="s">
        <v>7</v>
      </c>
      <c r="G30" s="2">
        <v>1265</v>
      </c>
      <c r="H30" s="2">
        <v>90.26</v>
      </c>
      <c r="I30" s="2">
        <v>79.47</v>
      </c>
      <c r="J30" s="2">
        <v>187</v>
      </c>
      <c r="K30" s="2" t="s">
        <v>4</v>
      </c>
      <c r="L30" s="2" t="str">
        <f t="shared" si="0"/>
        <v>Delivered</v>
      </c>
      <c r="M30" t="str" cm="1">
        <f t="array" ref="M30">_xlfn.IFS(B30="Alpha_Inc","S001", B30="Delta_Logistics","S002", B30="Gamma_Co","S003", B30="Beta_Supplies","S004", B30="Epsilon_Group","S005")</f>
        <v>S002</v>
      </c>
      <c r="N30" t="str" cm="1">
        <f t="array" ref="N30">_xlfn.IFS(E30="Electronics","P001", E30="MRO","P002", E30="Office Supplies","P003", E30="Packaging","P004", E30="Raw Materials","P005")</f>
        <v>P002</v>
      </c>
    </row>
    <row r="31" spans="1:14" x14ac:dyDescent="0.2">
      <c r="A31" s="4" t="s">
        <v>45</v>
      </c>
      <c r="B31" s="5" t="s">
        <v>18</v>
      </c>
      <c r="C31" s="6">
        <v>45165</v>
      </c>
      <c r="D31" s="6">
        <f>D80</f>
        <v>44790</v>
      </c>
      <c r="E31" s="5" t="s">
        <v>10</v>
      </c>
      <c r="F31" s="5" t="s">
        <v>7</v>
      </c>
      <c r="G31" s="5">
        <v>1005</v>
      </c>
      <c r="H31" s="5">
        <v>80.55</v>
      </c>
      <c r="I31" s="5">
        <v>73.31</v>
      </c>
      <c r="J31" s="5">
        <v>30</v>
      </c>
      <c r="K31" s="5" t="s">
        <v>4</v>
      </c>
      <c r="L31" s="5" t="str">
        <f t="shared" si="0"/>
        <v>Delivered</v>
      </c>
      <c r="M31" t="str" cm="1">
        <f t="array" ref="M31">_xlfn.IFS(B31="Alpha_Inc","S001", B31="Delta_Logistics","S002", B31="Gamma_Co","S003", B31="Beta_Supplies","S004", B31="Epsilon_Group","S005")</f>
        <v>S005</v>
      </c>
      <c r="N31" t="str" cm="1">
        <f t="array" ref="N31">_xlfn.IFS(E31="Electronics","P001", E31="MRO","P002", E31="Office Supplies","P003", E31="Packaging","P004", E31="Raw Materials","P005")</f>
        <v>P002</v>
      </c>
    </row>
    <row r="32" spans="1:14" x14ac:dyDescent="0.2">
      <c r="A32" s="1" t="s">
        <v>46</v>
      </c>
      <c r="B32" s="2" t="s">
        <v>9</v>
      </c>
      <c r="C32" s="3">
        <v>44846</v>
      </c>
      <c r="D32" s="3">
        <v>44860</v>
      </c>
      <c r="E32" s="2" t="s">
        <v>28</v>
      </c>
      <c r="F32" s="2" t="s">
        <v>7</v>
      </c>
      <c r="G32" s="2">
        <v>326</v>
      </c>
      <c r="H32" s="2">
        <v>18.100000000000001</v>
      </c>
      <c r="I32" s="2">
        <v>15.92</v>
      </c>
      <c r="J32" s="2">
        <v>0</v>
      </c>
      <c r="K32" s="2" t="s">
        <v>16</v>
      </c>
      <c r="L32" s="2" t="str">
        <f t="shared" si="0"/>
        <v>Delivered</v>
      </c>
      <c r="M32" t="str" cm="1">
        <f t="array" ref="M32">_xlfn.IFS(B32="Alpha_Inc","S001", B32="Delta_Logistics","S002", B32="Gamma_Co","S003", B32="Beta_Supplies","S004", B32="Epsilon_Group","S005")</f>
        <v>S003</v>
      </c>
      <c r="N32" t="str" cm="1">
        <f t="array" ref="N32">_xlfn.IFS(E32="Electronics","P001", E32="MRO","P002", E32="Office Supplies","P003", E32="Packaging","P004", E32="Raw Materials","P005")</f>
        <v>P001</v>
      </c>
    </row>
    <row r="33" spans="1:14" x14ac:dyDescent="0.2">
      <c r="A33" s="4" t="s">
        <v>47</v>
      </c>
      <c r="B33" s="5" t="s">
        <v>1</v>
      </c>
      <c r="C33" s="6">
        <v>44568</v>
      </c>
      <c r="D33" s="6">
        <v>44576</v>
      </c>
      <c r="E33" s="5" t="s">
        <v>2</v>
      </c>
      <c r="F33" s="5" t="s">
        <v>7</v>
      </c>
      <c r="G33" s="5">
        <v>1234</v>
      </c>
      <c r="H33" s="5">
        <v>17.64</v>
      </c>
      <c r="I33" s="5">
        <v>15.66</v>
      </c>
      <c r="J33" s="5">
        <v>26</v>
      </c>
      <c r="K33" s="5" t="s">
        <v>4</v>
      </c>
      <c r="L33" s="5" t="str">
        <f t="shared" si="0"/>
        <v>Delivered</v>
      </c>
      <c r="M33" t="str" cm="1">
        <f t="array" ref="M33">_xlfn.IFS(B33="Alpha_Inc","S001", B33="Delta_Logistics","S002", B33="Gamma_Co","S003", B33="Beta_Supplies","S004", B33="Epsilon_Group","S005")</f>
        <v>S001</v>
      </c>
      <c r="N33" t="str" cm="1">
        <f t="array" ref="N33">_xlfn.IFS(E33="Electronics","P001", E33="MRO","P002", E33="Office Supplies","P003", E33="Packaging","P004", E33="Raw Materials","P005")</f>
        <v>P003</v>
      </c>
    </row>
    <row r="34" spans="1:14" x14ac:dyDescent="0.2">
      <c r="A34" s="1" t="s">
        <v>48</v>
      </c>
      <c r="B34" s="2" t="s">
        <v>18</v>
      </c>
      <c r="C34" s="3">
        <v>44725</v>
      </c>
      <c r="D34" s="3">
        <v>44741</v>
      </c>
      <c r="E34" s="2" t="s">
        <v>10</v>
      </c>
      <c r="F34" s="2" t="s">
        <v>7</v>
      </c>
      <c r="G34" s="2">
        <v>509</v>
      </c>
      <c r="H34" s="2">
        <v>101.27</v>
      </c>
      <c r="I34" s="2">
        <v>97.82</v>
      </c>
      <c r="J34" s="2">
        <v>19</v>
      </c>
      <c r="K34" s="2" t="s">
        <v>4</v>
      </c>
      <c r="L34" s="2" t="str">
        <f t="shared" si="0"/>
        <v>Delivered</v>
      </c>
      <c r="M34" t="str" cm="1">
        <f t="array" ref="M34">_xlfn.IFS(B34="Alpha_Inc","S001", B34="Delta_Logistics","S002", B34="Gamma_Co","S003", B34="Beta_Supplies","S004", B34="Epsilon_Group","S005")</f>
        <v>S005</v>
      </c>
      <c r="N34" t="str" cm="1">
        <f t="array" ref="N34">_xlfn.IFS(E34="Electronics","P001", E34="MRO","P002", E34="Office Supplies","P003", E34="Packaging","P004", E34="Raw Materials","P005")</f>
        <v>P002</v>
      </c>
    </row>
    <row r="35" spans="1:14" x14ac:dyDescent="0.2">
      <c r="A35" s="4" t="s">
        <v>49</v>
      </c>
      <c r="B35" s="5" t="s">
        <v>1</v>
      </c>
      <c r="C35" s="6">
        <v>45276</v>
      </c>
      <c r="D35" s="6">
        <v>45277</v>
      </c>
      <c r="E35" s="5" t="s">
        <v>13</v>
      </c>
      <c r="F35" s="5" t="s">
        <v>7</v>
      </c>
      <c r="G35" s="5">
        <v>1387</v>
      </c>
      <c r="H35" s="5">
        <v>48.71</v>
      </c>
      <c r="I35" s="5">
        <v>43.71</v>
      </c>
      <c r="J35" s="5">
        <v>27</v>
      </c>
      <c r="K35" s="5" t="s">
        <v>4</v>
      </c>
      <c r="L35" s="5" t="str">
        <f t="shared" si="0"/>
        <v>Delivered</v>
      </c>
      <c r="M35" t="str" cm="1">
        <f t="array" ref="M35">_xlfn.IFS(B35="Alpha_Inc","S001", B35="Delta_Logistics","S002", B35="Gamma_Co","S003", B35="Beta_Supplies","S004", B35="Epsilon_Group","S005")</f>
        <v>S001</v>
      </c>
      <c r="N35" t="str" cm="1">
        <f t="array" ref="N35">_xlfn.IFS(E35="Electronics","P001", E35="MRO","P002", E35="Office Supplies","P003", E35="Packaging","P004", E35="Raw Materials","P005")</f>
        <v>P004</v>
      </c>
    </row>
    <row r="36" spans="1:14" x14ac:dyDescent="0.2">
      <c r="A36" s="1" t="s">
        <v>50</v>
      </c>
      <c r="B36" s="2" t="s">
        <v>1</v>
      </c>
      <c r="C36" s="3">
        <v>44994</v>
      </c>
      <c r="D36" s="3">
        <v>45002</v>
      </c>
      <c r="E36" s="2" t="s">
        <v>10</v>
      </c>
      <c r="F36" s="2" t="s">
        <v>7</v>
      </c>
      <c r="G36" s="2">
        <v>71</v>
      </c>
      <c r="H36" s="2">
        <v>46.39</v>
      </c>
      <c r="I36" s="2">
        <v>43.18</v>
      </c>
      <c r="J36" s="2">
        <v>0</v>
      </c>
      <c r="K36" s="2" t="s">
        <v>4</v>
      </c>
      <c r="L36" s="2" t="str">
        <f t="shared" si="0"/>
        <v>Delivered</v>
      </c>
      <c r="M36" t="str" cm="1">
        <f t="array" ref="M36">_xlfn.IFS(B36="Alpha_Inc","S001", B36="Delta_Logistics","S002", B36="Gamma_Co","S003", B36="Beta_Supplies","S004", B36="Epsilon_Group","S005")</f>
        <v>S001</v>
      </c>
      <c r="N36" t="str" cm="1">
        <f t="array" ref="N36">_xlfn.IFS(E36="Electronics","P001", E36="MRO","P002", E36="Office Supplies","P003", E36="Packaging","P004", E36="Raw Materials","P005")</f>
        <v>P002</v>
      </c>
    </row>
    <row r="37" spans="1:14" x14ac:dyDescent="0.2">
      <c r="A37" s="4" t="s">
        <v>51</v>
      </c>
      <c r="B37" s="5" t="s">
        <v>18</v>
      </c>
      <c r="C37" s="6">
        <v>44910</v>
      </c>
      <c r="D37" s="6">
        <v>44918</v>
      </c>
      <c r="E37" s="5" t="s">
        <v>2</v>
      </c>
      <c r="F37" s="5" t="s">
        <v>7</v>
      </c>
      <c r="G37" s="5">
        <v>302</v>
      </c>
      <c r="H37" s="5">
        <v>87.73</v>
      </c>
      <c r="I37" s="5">
        <v>81.52</v>
      </c>
      <c r="J37" s="5">
        <v>9</v>
      </c>
      <c r="K37" s="5" t="s">
        <v>4</v>
      </c>
      <c r="L37" s="5" t="str">
        <f t="shared" si="0"/>
        <v>Delivered</v>
      </c>
      <c r="M37" t="str" cm="1">
        <f t="array" ref="M37">_xlfn.IFS(B37="Alpha_Inc","S001", B37="Delta_Logistics","S002", B37="Gamma_Co","S003", B37="Beta_Supplies","S004", B37="Epsilon_Group","S005")</f>
        <v>S005</v>
      </c>
      <c r="N37" t="str" cm="1">
        <f t="array" ref="N37">_xlfn.IFS(E37="Electronics","P001", E37="MRO","P002", E37="Office Supplies","P003", E37="Packaging","P004", E37="Raw Materials","P005")</f>
        <v>P003</v>
      </c>
    </row>
    <row r="38" spans="1:14" x14ac:dyDescent="0.2">
      <c r="A38" s="1" t="s">
        <v>52</v>
      </c>
      <c r="B38" s="2" t="s">
        <v>18</v>
      </c>
      <c r="C38" s="3">
        <v>44846</v>
      </c>
      <c r="D38" s="3">
        <v>44865</v>
      </c>
      <c r="E38" s="2" t="s">
        <v>2</v>
      </c>
      <c r="F38" s="2" t="s">
        <v>24</v>
      </c>
      <c r="G38" s="2">
        <v>797</v>
      </c>
      <c r="H38" s="2">
        <v>99.54</v>
      </c>
      <c r="I38" s="2">
        <v>91.37</v>
      </c>
      <c r="J38" s="2">
        <v>18</v>
      </c>
      <c r="K38" s="2" t="s">
        <v>4</v>
      </c>
      <c r="L38" s="2" t="str">
        <f t="shared" si="0"/>
        <v>Pending</v>
      </c>
      <c r="M38" t="str" cm="1">
        <f t="array" ref="M38">_xlfn.IFS(B38="Alpha_Inc","S001", B38="Delta_Logistics","S002", B38="Gamma_Co","S003", B38="Beta_Supplies","S004", B38="Epsilon_Group","S005")</f>
        <v>S005</v>
      </c>
      <c r="N38" t="str" cm="1">
        <f t="array" ref="N38">_xlfn.IFS(E38="Electronics","P001", E38="MRO","P002", E38="Office Supplies","P003", E38="Packaging","P004", E38="Raw Materials","P005")</f>
        <v>P003</v>
      </c>
    </row>
    <row r="39" spans="1:14" x14ac:dyDescent="0.2">
      <c r="A39" s="4" t="s">
        <v>53</v>
      </c>
      <c r="B39" s="5" t="s">
        <v>12</v>
      </c>
      <c r="C39" s="6">
        <v>44721</v>
      </c>
      <c r="D39" s="6">
        <v>44739</v>
      </c>
      <c r="E39" s="5" t="s">
        <v>2</v>
      </c>
      <c r="F39" s="5" t="s">
        <v>24</v>
      </c>
      <c r="G39" s="5">
        <v>906</v>
      </c>
      <c r="H39" s="5">
        <v>101.21</v>
      </c>
      <c r="I39" s="5">
        <v>90.9</v>
      </c>
      <c r="J39" s="5">
        <v>94</v>
      </c>
      <c r="K39" s="5" t="s">
        <v>4</v>
      </c>
      <c r="L39" s="5" t="str">
        <f t="shared" si="0"/>
        <v>Pending</v>
      </c>
      <c r="M39" t="str" cm="1">
        <f t="array" ref="M39">_xlfn.IFS(B39="Alpha_Inc","S001", B39="Delta_Logistics","S002", B39="Gamma_Co","S003", B39="Beta_Supplies","S004", B39="Epsilon_Group","S005")</f>
        <v>S004</v>
      </c>
      <c r="N39" t="str" cm="1">
        <f t="array" ref="N39">_xlfn.IFS(E39="Electronics","P001", E39="MRO","P002", E39="Office Supplies","P003", E39="Packaging","P004", E39="Raw Materials","P005")</f>
        <v>P003</v>
      </c>
    </row>
    <row r="40" spans="1:14" x14ac:dyDescent="0.2">
      <c r="A40" s="1" t="s">
        <v>54</v>
      </c>
      <c r="B40" s="2" t="s">
        <v>18</v>
      </c>
      <c r="C40" s="3">
        <v>44782</v>
      </c>
      <c r="D40" s="3">
        <v>44796</v>
      </c>
      <c r="E40" s="2" t="s">
        <v>2</v>
      </c>
      <c r="F40" s="2" t="s">
        <v>7</v>
      </c>
      <c r="G40" s="2">
        <v>1634</v>
      </c>
      <c r="H40" s="2">
        <v>80.53</v>
      </c>
      <c r="I40" s="2">
        <v>76.150000000000006</v>
      </c>
      <c r="J40" s="2">
        <v>50</v>
      </c>
      <c r="K40" s="2" t="s">
        <v>4</v>
      </c>
      <c r="L40" s="2" t="str">
        <f t="shared" si="0"/>
        <v>Delivered</v>
      </c>
      <c r="M40" t="str" cm="1">
        <f t="array" ref="M40">_xlfn.IFS(B40="Alpha_Inc","S001", B40="Delta_Logistics","S002", B40="Gamma_Co","S003", B40="Beta_Supplies","S004", B40="Epsilon_Group","S005")</f>
        <v>S005</v>
      </c>
      <c r="N40" t="str" cm="1">
        <f t="array" ref="N40">_xlfn.IFS(E40="Electronics","P001", E40="MRO","P002", E40="Office Supplies","P003", E40="Packaging","P004", E40="Raw Materials","P005")</f>
        <v>P003</v>
      </c>
    </row>
    <row r="41" spans="1:14" x14ac:dyDescent="0.2">
      <c r="A41" s="4" t="s">
        <v>55</v>
      </c>
      <c r="B41" s="5" t="s">
        <v>18</v>
      </c>
      <c r="C41" s="6">
        <v>44906</v>
      </c>
      <c r="D41" s="6">
        <f>Table1[[#This Row],[Order_Date]]+14</f>
        <v>44920</v>
      </c>
      <c r="E41" s="5" t="s">
        <v>2</v>
      </c>
      <c r="F41" s="5" t="s">
        <v>7</v>
      </c>
      <c r="G41" s="5">
        <v>524</v>
      </c>
      <c r="H41" s="5">
        <v>46.28</v>
      </c>
      <c r="I41" s="5">
        <v>39.65</v>
      </c>
      <c r="J41" s="5">
        <v>14</v>
      </c>
      <c r="K41" s="5" t="s">
        <v>4</v>
      </c>
      <c r="L41" s="5" t="str">
        <f t="shared" si="0"/>
        <v>Delivered</v>
      </c>
      <c r="M41" t="str" cm="1">
        <f t="array" ref="M41">_xlfn.IFS(B41="Alpha_Inc","S001", B41="Delta_Logistics","S002", B41="Gamma_Co","S003", B41="Beta_Supplies","S004", B41="Epsilon_Group","S005")</f>
        <v>S005</v>
      </c>
      <c r="N41" t="str" cm="1">
        <f t="array" ref="N41">_xlfn.IFS(E41="Electronics","P001", E41="MRO","P002", E41="Office Supplies","P003", E41="Packaging","P004", E41="Raw Materials","P005")</f>
        <v>P003</v>
      </c>
    </row>
    <row r="42" spans="1:14" x14ac:dyDescent="0.2">
      <c r="A42" s="1" t="s">
        <v>56</v>
      </c>
      <c r="B42" s="2" t="s">
        <v>12</v>
      </c>
      <c r="C42" s="3">
        <v>44666</v>
      </c>
      <c r="D42" s="3">
        <v>44678</v>
      </c>
      <c r="E42" s="2" t="s">
        <v>28</v>
      </c>
      <c r="F42" s="2" t="s">
        <v>7</v>
      </c>
      <c r="G42" s="2">
        <v>1132</v>
      </c>
      <c r="H42" s="2">
        <v>17.78</v>
      </c>
      <c r="I42" s="2">
        <v>15.36</v>
      </c>
      <c r="J42" s="2">
        <v>96</v>
      </c>
      <c r="K42" s="2" t="s">
        <v>4</v>
      </c>
      <c r="L42" s="2" t="str">
        <f t="shared" si="0"/>
        <v>Delivered</v>
      </c>
      <c r="M42" t="str" cm="1">
        <f t="array" ref="M42">_xlfn.IFS(B42="Alpha_Inc","S001", B42="Delta_Logistics","S002", B42="Gamma_Co","S003", B42="Beta_Supplies","S004", B42="Epsilon_Group","S005")</f>
        <v>S004</v>
      </c>
      <c r="N42" t="str" cm="1">
        <f t="array" ref="N42">_xlfn.IFS(E42="Electronics","P001", E42="MRO","P002", E42="Office Supplies","P003", E42="Packaging","P004", E42="Raw Materials","P005")</f>
        <v>P001</v>
      </c>
    </row>
    <row r="43" spans="1:14" x14ac:dyDescent="0.2">
      <c r="A43" s="4" t="s">
        <v>57</v>
      </c>
      <c r="B43" s="5" t="s">
        <v>12</v>
      </c>
      <c r="C43" s="6">
        <v>44656</v>
      </c>
      <c r="D43" s="6">
        <v>44665</v>
      </c>
      <c r="E43" s="5" t="s">
        <v>2</v>
      </c>
      <c r="F43" s="5" t="s">
        <v>7</v>
      </c>
      <c r="G43" s="5">
        <v>560</v>
      </c>
      <c r="H43" s="5">
        <v>81.14</v>
      </c>
      <c r="I43" s="5">
        <v>77.87</v>
      </c>
      <c r="J43" s="5">
        <v>34</v>
      </c>
      <c r="K43" s="5" t="s">
        <v>16</v>
      </c>
      <c r="L43" s="5" t="str">
        <f t="shared" si="0"/>
        <v>Delivered</v>
      </c>
      <c r="M43" t="str" cm="1">
        <f t="array" ref="M43">_xlfn.IFS(B43="Alpha_Inc","S001", B43="Delta_Logistics","S002", B43="Gamma_Co","S003", B43="Beta_Supplies","S004", B43="Epsilon_Group","S005")</f>
        <v>S004</v>
      </c>
      <c r="N43" t="str" cm="1">
        <f t="array" ref="N43">_xlfn.IFS(E43="Electronics","P001", E43="MRO","P002", E43="Office Supplies","P003", E43="Packaging","P004", E43="Raw Materials","P005")</f>
        <v>P003</v>
      </c>
    </row>
    <row r="44" spans="1:14" x14ac:dyDescent="0.2">
      <c r="A44" s="1" t="s">
        <v>58</v>
      </c>
      <c r="B44" s="2" t="s">
        <v>9</v>
      </c>
      <c r="C44" s="3">
        <v>44951</v>
      </c>
      <c r="D44" s="3">
        <v>44959</v>
      </c>
      <c r="E44" s="2" t="s">
        <v>28</v>
      </c>
      <c r="F44" s="2" t="s">
        <v>7</v>
      </c>
      <c r="G44" s="2">
        <v>1755</v>
      </c>
      <c r="H44" s="2">
        <v>63.87</v>
      </c>
      <c r="I44" s="2">
        <v>58.4</v>
      </c>
      <c r="J44" s="2">
        <v>85</v>
      </c>
      <c r="K44" s="2" t="s">
        <v>4</v>
      </c>
      <c r="L44" s="2" t="str">
        <f t="shared" si="0"/>
        <v>Delivered</v>
      </c>
      <c r="M44" t="str" cm="1">
        <f t="array" ref="M44">_xlfn.IFS(B44="Alpha_Inc","S001", B44="Delta_Logistics","S002", B44="Gamma_Co","S003", B44="Beta_Supplies","S004", B44="Epsilon_Group","S005")</f>
        <v>S003</v>
      </c>
      <c r="N44" t="str" cm="1">
        <f t="array" ref="N44">_xlfn.IFS(E44="Electronics","P001", E44="MRO","P002", E44="Office Supplies","P003", E44="Packaging","P004", E44="Raw Materials","P005")</f>
        <v>P001</v>
      </c>
    </row>
    <row r="45" spans="1:14" x14ac:dyDescent="0.2">
      <c r="A45" s="4" t="s">
        <v>59</v>
      </c>
      <c r="B45" s="5" t="s">
        <v>18</v>
      </c>
      <c r="C45" s="6">
        <v>44661</v>
      </c>
      <c r="D45" s="6">
        <v>44668</v>
      </c>
      <c r="E45" s="5" t="s">
        <v>10</v>
      </c>
      <c r="F45" s="5" t="s">
        <v>7</v>
      </c>
      <c r="G45" s="5">
        <v>1549</v>
      </c>
      <c r="H45" s="5">
        <v>48.9</v>
      </c>
      <c r="I45" s="5">
        <v>42.42</v>
      </c>
      <c r="J45" s="5">
        <v>48</v>
      </c>
      <c r="K45" s="5" t="s">
        <v>4</v>
      </c>
      <c r="L45" s="5" t="str">
        <f t="shared" si="0"/>
        <v>Delivered</v>
      </c>
      <c r="M45" t="str" cm="1">
        <f t="array" ref="M45">_xlfn.IFS(B45="Alpha_Inc","S001", B45="Delta_Logistics","S002", B45="Gamma_Co","S003", B45="Beta_Supplies","S004", B45="Epsilon_Group","S005")</f>
        <v>S005</v>
      </c>
      <c r="N45" t="str" cm="1">
        <f t="array" ref="N45">_xlfn.IFS(E45="Electronics","P001", E45="MRO","P002", E45="Office Supplies","P003", E45="Packaging","P004", E45="Raw Materials","P005")</f>
        <v>P002</v>
      </c>
    </row>
    <row r="46" spans="1:14" x14ac:dyDescent="0.2">
      <c r="A46" s="1" t="s">
        <v>60</v>
      </c>
      <c r="B46" s="2" t="s">
        <v>6</v>
      </c>
      <c r="C46" s="3">
        <v>44929</v>
      </c>
      <c r="D46" s="3">
        <v>44947</v>
      </c>
      <c r="E46" s="2" t="s">
        <v>10</v>
      </c>
      <c r="F46" s="2" t="s">
        <v>7</v>
      </c>
      <c r="G46" s="2">
        <v>749</v>
      </c>
      <c r="H46" s="2">
        <v>97.07</v>
      </c>
      <c r="I46" s="2">
        <v>94.16</v>
      </c>
      <c r="J46" s="2">
        <v>123</v>
      </c>
      <c r="K46" s="2" t="s">
        <v>4</v>
      </c>
      <c r="L46" s="2" t="str">
        <f t="shared" si="0"/>
        <v>Delivered</v>
      </c>
      <c r="M46" t="str" cm="1">
        <f t="array" ref="M46">_xlfn.IFS(B46="Alpha_Inc","S001", B46="Delta_Logistics","S002", B46="Gamma_Co","S003", B46="Beta_Supplies","S004", B46="Epsilon_Group","S005")</f>
        <v>S002</v>
      </c>
      <c r="N46" t="str" cm="1">
        <f t="array" ref="N46">_xlfn.IFS(E46="Electronics","P001", E46="MRO","P002", E46="Office Supplies","P003", E46="Packaging","P004", E46="Raw Materials","P005")</f>
        <v>P002</v>
      </c>
    </row>
    <row r="47" spans="1:14" x14ac:dyDescent="0.2">
      <c r="A47" s="4" t="s">
        <v>61</v>
      </c>
      <c r="B47" s="5" t="s">
        <v>1</v>
      </c>
      <c r="C47" s="6">
        <v>44914</v>
      </c>
      <c r="D47" s="6">
        <f>Table1[[#This Row],[Order_Date]]+14</f>
        <v>44928</v>
      </c>
      <c r="E47" s="5" t="s">
        <v>28</v>
      </c>
      <c r="F47" s="5" t="s">
        <v>7</v>
      </c>
      <c r="G47" s="5">
        <v>1025</v>
      </c>
      <c r="H47" s="5">
        <v>21.11</v>
      </c>
      <c r="I47" s="5">
        <v>19.25</v>
      </c>
      <c r="J47" s="5">
        <v>15</v>
      </c>
      <c r="K47" s="5" t="s">
        <v>4</v>
      </c>
      <c r="L47" s="5" t="str">
        <f t="shared" si="0"/>
        <v>Delivered</v>
      </c>
      <c r="M47" t="str" cm="1">
        <f t="array" ref="M47">_xlfn.IFS(B47="Alpha_Inc","S001", B47="Delta_Logistics","S002", B47="Gamma_Co","S003", B47="Beta_Supplies","S004", B47="Epsilon_Group","S005")</f>
        <v>S001</v>
      </c>
      <c r="N47" t="str" cm="1">
        <f t="array" ref="N47">_xlfn.IFS(E47="Electronics","P001", E47="MRO","P002", E47="Office Supplies","P003", E47="Packaging","P004", E47="Raw Materials","P005")</f>
        <v>P001</v>
      </c>
    </row>
    <row r="48" spans="1:14" x14ac:dyDescent="0.2">
      <c r="A48" s="1" t="s">
        <v>62</v>
      </c>
      <c r="B48" s="2" t="s">
        <v>12</v>
      </c>
      <c r="C48" s="3">
        <v>45180</v>
      </c>
      <c r="D48" s="3">
        <v>45187</v>
      </c>
      <c r="E48" s="2" t="s">
        <v>15</v>
      </c>
      <c r="F48" s="2" t="s">
        <v>7</v>
      </c>
      <c r="G48" s="2">
        <v>1856</v>
      </c>
      <c r="H48" s="2">
        <v>59.77</v>
      </c>
      <c r="I48" s="2">
        <v>50.81</v>
      </c>
      <c r="J48" s="2">
        <v>191</v>
      </c>
      <c r="K48" s="2" t="s">
        <v>4</v>
      </c>
      <c r="L48" s="2" t="str">
        <f t="shared" si="0"/>
        <v>Delivered</v>
      </c>
      <c r="M48" t="str" cm="1">
        <f t="array" ref="M48">_xlfn.IFS(B48="Alpha_Inc","S001", B48="Delta_Logistics","S002", B48="Gamma_Co","S003", B48="Beta_Supplies","S004", B48="Epsilon_Group","S005")</f>
        <v>S004</v>
      </c>
      <c r="N48" t="str" cm="1">
        <f t="array" ref="N48">_xlfn.IFS(E48="Electronics","P001", E48="MRO","P002", E48="Office Supplies","P003", E48="Packaging","P004", E48="Raw Materials","P005")</f>
        <v>P005</v>
      </c>
    </row>
    <row r="49" spans="1:14" x14ac:dyDescent="0.2">
      <c r="A49" s="4" t="s">
        <v>63</v>
      </c>
      <c r="B49" s="5" t="s">
        <v>18</v>
      </c>
      <c r="C49" s="6">
        <v>44832</v>
      </c>
      <c r="D49" s="6">
        <v>44848</v>
      </c>
      <c r="E49" s="5" t="s">
        <v>2</v>
      </c>
      <c r="F49" s="5" t="s">
        <v>7</v>
      </c>
      <c r="G49" s="5">
        <v>239</v>
      </c>
      <c r="H49" s="5">
        <v>11.46</v>
      </c>
      <c r="I49" s="5">
        <v>11.28</v>
      </c>
      <c r="J49" s="5">
        <v>4</v>
      </c>
      <c r="K49" s="5" t="s">
        <v>4</v>
      </c>
      <c r="L49" s="5" t="str">
        <f t="shared" si="0"/>
        <v>Delivered</v>
      </c>
      <c r="M49" t="str" cm="1">
        <f t="array" ref="M49">_xlfn.IFS(B49="Alpha_Inc","S001", B49="Delta_Logistics","S002", B49="Gamma_Co","S003", B49="Beta_Supplies","S004", B49="Epsilon_Group","S005")</f>
        <v>S005</v>
      </c>
      <c r="N49" t="str" cm="1">
        <f t="array" ref="N49">_xlfn.IFS(E49="Electronics","P001", E49="MRO","P002", E49="Office Supplies","P003", E49="Packaging","P004", E49="Raw Materials","P005")</f>
        <v>P003</v>
      </c>
    </row>
    <row r="50" spans="1:14" x14ac:dyDescent="0.2">
      <c r="A50" s="1" t="s">
        <v>64</v>
      </c>
      <c r="B50" s="2" t="s">
        <v>6</v>
      </c>
      <c r="C50" s="3">
        <v>44606</v>
      </c>
      <c r="D50" s="3">
        <v>44625</v>
      </c>
      <c r="E50" s="2" t="s">
        <v>2</v>
      </c>
      <c r="F50" s="2" t="s">
        <v>24</v>
      </c>
      <c r="G50" s="2">
        <v>1007</v>
      </c>
      <c r="H50" s="2">
        <v>52.44</v>
      </c>
      <c r="I50" s="2">
        <v>46.06</v>
      </c>
      <c r="J50" s="2">
        <v>167</v>
      </c>
      <c r="K50" s="2" t="s">
        <v>4</v>
      </c>
      <c r="L50" s="2" t="str">
        <f t="shared" si="0"/>
        <v>Pending</v>
      </c>
      <c r="M50" t="str" cm="1">
        <f t="array" ref="M50">_xlfn.IFS(B50="Alpha_Inc","S001", B50="Delta_Logistics","S002", B50="Gamma_Co","S003", B50="Beta_Supplies","S004", B50="Epsilon_Group","S005")</f>
        <v>S002</v>
      </c>
      <c r="N50" t="str" cm="1">
        <f t="array" ref="N50">_xlfn.IFS(E50="Electronics","P001", E50="MRO","P002", E50="Office Supplies","P003", E50="Packaging","P004", E50="Raw Materials","P005")</f>
        <v>P003</v>
      </c>
    </row>
    <row r="51" spans="1:14" x14ac:dyDescent="0.2">
      <c r="A51" s="4" t="s">
        <v>65</v>
      </c>
      <c r="B51" s="5" t="s">
        <v>1</v>
      </c>
      <c r="C51" s="6">
        <v>45032</v>
      </c>
      <c r="D51" s="6">
        <f>Table1[[#This Row],[Order_Date]]+14</f>
        <v>45046</v>
      </c>
      <c r="E51" s="5" t="s">
        <v>10</v>
      </c>
      <c r="F51" s="5" t="s">
        <v>24</v>
      </c>
      <c r="G51" s="5">
        <v>736</v>
      </c>
      <c r="H51" s="5">
        <v>16.2</v>
      </c>
      <c r="I51" s="5">
        <v>15.33</v>
      </c>
      <c r="J51" s="5">
        <v>18</v>
      </c>
      <c r="K51" s="5" t="s">
        <v>4</v>
      </c>
      <c r="L51" s="5" t="str">
        <f t="shared" si="0"/>
        <v>Pending</v>
      </c>
      <c r="M51" t="str" cm="1">
        <f t="array" ref="M51">_xlfn.IFS(B51="Alpha_Inc","S001", B51="Delta_Logistics","S002", B51="Gamma_Co","S003", B51="Beta_Supplies","S004", B51="Epsilon_Group","S005")</f>
        <v>S001</v>
      </c>
      <c r="N51" t="str" cm="1">
        <f t="array" ref="N51">_xlfn.IFS(E51="Electronics","P001", E51="MRO","P002", E51="Office Supplies","P003", E51="Packaging","P004", E51="Raw Materials","P005")</f>
        <v>P002</v>
      </c>
    </row>
    <row r="52" spans="1:14" x14ac:dyDescent="0.2">
      <c r="A52" s="1" t="s">
        <v>66</v>
      </c>
      <c r="B52" s="2" t="s">
        <v>18</v>
      </c>
      <c r="C52" s="3">
        <v>45111</v>
      </c>
      <c r="D52" s="3">
        <v>45121</v>
      </c>
      <c r="E52" s="2" t="s">
        <v>28</v>
      </c>
      <c r="F52" s="2" t="s">
        <v>7</v>
      </c>
      <c r="G52" s="2">
        <v>1007</v>
      </c>
      <c r="H52" s="2">
        <v>22.56</v>
      </c>
      <c r="I52" s="2">
        <v>19.59</v>
      </c>
      <c r="J52" s="2">
        <v>0</v>
      </c>
      <c r="K52" s="2" t="s">
        <v>4</v>
      </c>
      <c r="L52" s="2" t="str">
        <f t="shared" si="0"/>
        <v>Delivered</v>
      </c>
      <c r="M52" t="str" cm="1">
        <f t="array" ref="M52">_xlfn.IFS(B52="Alpha_Inc","S001", B52="Delta_Logistics","S002", B52="Gamma_Co","S003", B52="Beta_Supplies","S004", B52="Epsilon_Group","S005")</f>
        <v>S005</v>
      </c>
      <c r="N52" t="str" cm="1">
        <f t="array" ref="N52">_xlfn.IFS(E52="Electronics","P001", E52="MRO","P002", E52="Office Supplies","P003", E52="Packaging","P004", E52="Raw Materials","P005")</f>
        <v>P001</v>
      </c>
    </row>
    <row r="53" spans="1:14" x14ac:dyDescent="0.2">
      <c r="A53" s="4" t="s">
        <v>67</v>
      </c>
      <c r="B53" s="5" t="s">
        <v>6</v>
      </c>
      <c r="C53" s="6">
        <v>44689</v>
      </c>
      <c r="D53" s="6">
        <f>Table1[[#This Row],[Order_Date]]+14</f>
        <v>44703</v>
      </c>
      <c r="E53" s="5" t="s">
        <v>2</v>
      </c>
      <c r="F53" s="5" t="s">
        <v>7</v>
      </c>
      <c r="G53" s="5">
        <v>612</v>
      </c>
      <c r="H53" s="5">
        <v>20.99</v>
      </c>
      <c r="I53" s="5">
        <v>19.75</v>
      </c>
      <c r="J53" s="5">
        <v>102</v>
      </c>
      <c r="K53" s="5" t="s">
        <v>4</v>
      </c>
      <c r="L53" s="5" t="str">
        <f t="shared" si="0"/>
        <v>Delivered</v>
      </c>
      <c r="M53" t="str" cm="1">
        <f t="array" ref="M53">_xlfn.IFS(B53="Alpha_Inc","S001", B53="Delta_Logistics","S002", B53="Gamma_Co","S003", B53="Beta_Supplies","S004", B53="Epsilon_Group","S005")</f>
        <v>S002</v>
      </c>
      <c r="N53" t="str" cm="1">
        <f t="array" ref="N53">_xlfn.IFS(E53="Electronics","P001", E53="MRO","P002", E53="Office Supplies","P003", E53="Packaging","P004", E53="Raw Materials","P005")</f>
        <v>P003</v>
      </c>
    </row>
    <row r="54" spans="1:14" x14ac:dyDescent="0.2">
      <c r="A54" s="1" t="s">
        <v>68</v>
      </c>
      <c r="B54" s="2" t="s">
        <v>1</v>
      </c>
      <c r="C54" s="3">
        <v>44949</v>
      </c>
      <c r="D54" s="3">
        <v>44959</v>
      </c>
      <c r="E54" s="2" t="s">
        <v>10</v>
      </c>
      <c r="F54" s="2" t="s">
        <v>24</v>
      </c>
      <c r="G54" s="2">
        <v>1949</v>
      </c>
      <c r="H54" s="2">
        <v>72.53</v>
      </c>
      <c r="I54" s="2">
        <v>63.26</v>
      </c>
      <c r="J54" s="2">
        <v>48</v>
      </c>
      <c r="K54" s="2" t="s">
        <v>16</v>
      </c>
      <c r="L54" s="2" t="str">
        <f t="shared" si="0"/>
        <v>Pending</v>
      </c>
      <c r="M54" t="str" cm="1">
        <f t="array" ref="M54">_xlfn.IFS(B54="Alpha_Inc","S001", B54="Delta_Logistics","S002", B54="Gamma_Co","S003", B54="Beta_Supplies","S004", B54="Epsilon_Group","S005")</f>
        <v>S001</v>
      </c>
      <c r="N54" t="str" cm="1">
        <f t="array" ref="N54">_xlfn.IFS(E54="Electronics","P001", E54="MRO","P002", E54="Office Supplies","P003", E54="Packaging","P004", E54="Raw Materials","P005")</f>
        <v>P002</v>
      </c>
    </row>
    <row r="55" spans="1:14" x14ac:dyDescent="0.2">
      <c r="A55" s="4" t="s">
        <v>69</v>
      </c>
      <c r="B55" s="5" t="s">
        <v>6</v>
      </c>
      <c r="C55" s="6">
        <v>44642</v>
      </c>
      <c r="D55" s="6">
        <v>44648</v>
      </c>
      <c r="E55" s="5" t="s">
        <v>2</v>
      </c>
      <c r="F55" s="5" t="s">
        <v>3</v>
      </c>
      <c r="G55" s="5">
        <v>1640</v>
      </c>
      <c r="H55" s="5">
        <v>77.92</v>
      </c>
      <c r="I55" s="5">
        <v>76.41</v>
      </c>
      <c r="J55" s="5">
        <v>262</v>
      </c>
      <c r="K55" s="5" t="s">
        <v>16</v>
      </c>
      <c r="L55" s="5" t="str">
        <f t="shared" si="0"/>
        <v>Cancelled</v>
      </c>
      <c r="M55" t="str" cm="1">
        <f t="array" ref="M55">_xlfn.IFS(B55="Alpha_Inc","S001", B55="Delta_Logistics","S002", B55="Gamma_Co","S003", B55="Beta_Supplies","S004", B55="Epsilon_Group","S005")</f>
        <v>S002</v>
      </c>
      <c r="N55" t="str" cm="1">
        <f t="array" ref="N55">_xlfn.IFS(E55="Electronics","P001", E55="MRO","P002", E55="Office Supplies","P003", E55="Packaging","P004", E55="Raw Materials","P005")</f>
        <v>P003</v>
      </c>
    </row>
    <row r="56" spans="1:14" x14ac:dyDescent="0.2">
      <c r="A56" s="1" t="s">
        <v>70</v>
      </c>
      <c r="B56" s="2" t="s">
        <v>12</v>
      </c>
      <c r="C56" s="3">
        <v>45127</v>
      </c>
      <c r="D56" s="3">
        <v>45145</v>
      </c>
      <c r="E56" s="2" t="s">
        <v>28</v>
      </c>
      <c r="F56" s="2" t="s">
        <v>7</v>
      </c>
      <c r="G56" s="2">
        <v>1317</v>
      </c>
      <c r="H56" s="2">
        <v>68.13</v>
      </c>
      <c r="I56" s="2">
        <v>60.52</v>
      </c>
      <c r="J56" s="2">
        <v>136</v>
      </c>
      <c r="K56" s="2" t="s">
        <v>4</v>
      </c>
      <c r="L56" s="2" t="str">
        <f t="shared" si="0"/>
        <v>Delivered</v>
      </c>
      <c r="M56" t="str" cm="1">
        <f t="array" ref="M56">_xlfn.IFS(B56="Alpha_Inc","S001", B56="Delta_Logistics","S002", B56="Gamma_Co","S003", B56="Beta_Supplies","S004", B56="Epsilon_Group","S005")</f>
        <v>S004</v>
      </c>
      <c r="N56" t="str" cm="1">
        <f t="array" ref="N56">_xlfn.IFS(E56="Electronics","P001", E56="MRO","P002", E56="Office Supplies","P003", E56="Packaging","P004", E56="Raw Materials","P005")</f>
        <v>P001</v>
      </c>
    </row>
    <row r="57" spans="1:14" x14ac:dyDescent="0.2">
      <c r="A57" s="4" t="s">
        <v>71</v>
      </c>
      <c r="B57" s="5" t="s">
        <v>18</v>
      </c>
      <c r="C57" s="6">
        <v>44862</v>
      </c>
      <c r="D57" s="6">
        <v>44864</v>
      </c>
      <c r="E57" s="5" t="s">
        <v>15</v>
      </c>
      <c r="F57" s="5" t="s">
        <v>7</v>
      </c>
      <c r="G57" s="5">
        <v>881</v>
      </c>
      <c r="H57" s="5">
        <v>100.94</v>
      </c>
      <c r="I57" s="5">
        <v>95.05</v>
      </c>
      <c r="J57" s="5">
        <v>30</v>
      </c>
      <c r="K57" s="5" t="s">
        <v>4</v>
      </c>
      <c r="L57" s="5" t="str">
        <f t="shared" si="0"/>
        <v>Delivered</v>
      </c>
      <c r="M57" t="str" cm="1">
        <f t="array" ref="M57">_xlfn.IFS(B57="Alpha_Inc","S001", B57="Delta_Logistics","S002", B57="Gamma_Co","S003", B57="Beta_Supplies","S004", B57="Epsilon_Group","S005")</f>
        <v>S005</v>
      </c>
      <c r="N57" t="str" cm="1">
        <f t="array" ref="N57">_xlfn.IFS(E57="Electronics","P001", E57="MRO","P002", E57="Office Supplies","P003", E57="Packaging","P004", E57="Raw Materials","P005")</f>
        <v>P005</v>
      </c>
    </row>
    <row r="58" spans="1:14" x14ac:dyDescent="0.2">
      <c r="A58" s="1" t="s">
        <v>72</v>
      </c>
      <c r="B58" s="2" t="s">
        <v>6</v>
      </c>
      <c r="C58" s="3">
        <v>45205</v>
      </c>
      <c r="D58" s="3">
        <f>Table1[[#This Row],[Order_Date]]+14</f>
        <v>45219</v>
      </c>
      <c r="E58" s="2" t="s">
        <v>13</v>
      </c>
      <c r="F58" s="2" t="s">
        <v>7</v>
      </c>
      <c r="G58" s="2">
        <v>1578</v>
      </c>
      <c r="H58" s="2">
        <v>48.33</v>
      </c>
      <c r="I58" s="2">
        <v>42.77</v>
      </c>
      <c r="J58" s="2">
        <v>206</v>
      </c>
      <c r="K58" s="2" t="s">
        <v>4</v>
      </c>
      <c r="L58" s="2" t="str">
        <f t="shared" si="0"/>
        <v>Delivered</v>
      </c>
      <c r="M58" t="str" cm="1">
        <f t="array" ref="M58">_xlfn.IFS(B58="Alpha_Inc","S001", B58="Delta_Logistics","S002", B58="Gamma_Co","S003", B58="Beta_Supplies","S004", B58="Epsilon_Group","S005")</f>
        <v>S002</v>
      </c>
      <c r="N58" t="str" cm="1">
        <f t="array" ref="N58">_xlfn.IFS(E58="Electronics","P001", E58="MRO","P002", E58="Office Supplies","P003", E58="Packaging","P004", E58="Raw Materials","P005")</f>
        <v>P004</v>
      </c>
    </row>
    <row r="59" spans="1:14" x14ac:dyDescent="0.2">
      <c r="A59" s="4" t="s">
        <v>73</v>
      </c>
      <c r="B59" s="5" t="s">
        <v>6</v>
      </c>
      <c r="C59" s="6">
        <v>45195</v>
      </c>
      <c r="D59" s="6">
        <v>45200</v>
      </c>
      <c r="E59" s="5" t="s">
        <v>10</v>
      </c>
      <c r="F59" s="5" t="s">
        <v>7</v>
      </c>
      <c r="G59" s="5">
        <v>1204</v>
      </c>
      <c r="H59" s="5">
        <v>39.29</v>
      </c>
      <c r="I59" s="5">
        <v>35.44</v>
      </c>
      <c r="J59" s="5">
        <v>0</v>
      </c>
      <c r="K59" s="5" t="s">
        <v>4</v>
      </c>
      <c r="L59" s="5" t="str">
        <f t="shared" si="0"/>
        <v>Delivered</v>
      </c>
      <c r="M59" t="str" cm="1">
        <f t="array" ref="M59">_xlfn.IFS(B59="Alpha_Inc","S001", B59="Delta_Logistics","S002", B59="Gamma_Co","S003", B59="Beta_Supplies","S004", B59="Epsilon_Group","S005")</f>
        <v>S002</v>
      </c>
      <c r="N59" t="str" cm="1">
        <f t="array" ref="N59">_xlfn.IFS(E59="Electronics","P001", E59="MRO","P002", E59="Office Supplies","P003", E59="Packaging","P004", E59="Raw Materials","P005")</f>
        <v>P002</v>
      </c>
    </row>
    <row r="60" spans="1:14" x14ac:dyDescent="0.2">
      <c r="A60" s="1" t="s">
        <v>74</v>
      </c>
      <c r="B60" s="2" t="s">
        <v>18</v>
      </c>
      <c r="C60" s="3">
        <v>44932</v>
      </c>
      <c r="D60" s="3">
        <v>44948</v>
      </c>
      <c r="E60" s="2" t="s">
        <v>10</v>
      </c>
      <c r="F60" s="2" t="s">
        <v>24</v>
      </c>
      <c r="G60" s="2">
        <v>1558</v>
      </c>
      <c r="H60" s="2">
        <v>93.46</v>
      </c>
      <c r="I60" s="2">
        <v>91.27</v>
      </c>
      <c r="J60" s="2">
        <v>39</v>
      </c>
      <c r="K60" s="2" t="s">
        <v>4</v>
      </c>
      <c r="L60" s="2" t="str">
        <f t="shared" si="0"/>
        <v>Pending</v>
      </c>
      <c r="M60" t="str" cm="1">
        <f t="array" ref="M60">_xlfn.IFS(B60="Alpha_Inc","S001", B60="Delta_Logistics","S002", B60="Gamma_Co","S003", B60="Beta_Supplies","S004", B60="Epsilon_Group","S005")</f>
        <v>S005</v>
      </c>
      <c r="N60" t="str" cm="1">
        <f t="array" ref="N60">_xlfn.IFS(E60="Electronics","P001", E60="MRO","P002", E60="Office Supplies","P003", E60="Packaging","P004", E60="Raw Materials","P005")</f>
        <v>P002</v>
      </c>
    </row>
    <row r="61" spans="1:14" x14ac:dyDescent="0.2">
      <c r="A61" s="4" t="s">
        <v>75</v>
      </c>
      <c r="B61" s="5" t="s">
        <v>1</v>
      </c>
      <c r="C61" s="6">
        <v>45153</v>
      </c>
      <c r="D61" s="6">
        <v>45154</v>
      </c>
      <c r="E61" s="5" t="s">
        <v>13</v>
      </c>
      <c r="F61" s="5" t="s">
        <v>7</v>
      </c>
      <c r="G61" s="5">
        <v>1892</v>
      </c>
      <c r="H61" s="5">
        <v>32.99</v>
      </c>
      <c r="I61" s="5">
        <v>28.81</v>
      </c>
      <c r="J61" s="5">
        <v>35</v>
      </c>
      <c r="K61" s="5" t="s">
        <v>4</v>
      </c>
      <c r="L61" s="5" t="str">
        <f t="shared" si="0"/>
        <v>Delivered</v>
      </c>
      <c r="M61" t="str" cm="1">
        <f t="array" ref="M61">_xlfn.IFS(B61="Alpha_Inc","S001", B61="Delta_Logistics","S002", B61="Gamma_Co","S003", B61="Beta_Supplies","S004", B61="Epsilon_Group","S005")</f>
        <v>S001</v>
      </c>
      <c r="N61" t="str" cm="1">
        <f t="array" ref="N61">_xlfn.IFS(E61="Electronics","P001", E61="MRO","P002", E61="Office Supplies","P003", E61="Packaging","P004", E61="Raw Materials","P005")</f>
        <v>P004</v>
      </c>
    </row>
    <row r="62" spans="1:14" x14ac:dyDescent="0.2">
      <c r="A62" s="1" t="s">
        <v>76</v>
      </c>
      <c r="B62" s="2" t="s">
        <v>18</v>
      </c>
      <c r="C62" s="3">
        <v>44758</v>
      </c>
      <c r="D62" s="3">
        <v>44774</v>
      </c>
      <c r="E62" s="2" t="s">
        <v>13</v>
      </c>
      <c r="F62" s="2" t="s">
        <v>7</v>
      </c>
      <c r="G62" s="2">
        <v>696</v>
      </c>
      <c r="H62" s="2">
        <v>99.59</v>
      </c>
      <c r="I62" s="2">
        <v>90.18</v>
      </c>
      <c r="J62" s="2">
        <v>25</v>
      </c>
      <c r="K62" s="2" t="s">
        <v>4</v>
      </c>
      <c r="L62" s="2" t="str">
        <f t="shared" si="0"/>
        <v>Delivered</v>
      </c>
      <c r="M62" t="str" cm="1">
        <f t="array" ref="M62">_xlfn.IFS(B62="Alpha_Inc","S001", B62="Delta_Logistics","S002", B62="Gamma_Co","S003", B62="Beta_Supplies","S004", B62="Epsilon_Group","S005")</f>
        <v>S005</v>
      </c>
      <c r="N62" t="str" cm="1">
        <f t="array" ref="N62">_xlfn.IFS(E62="Electronics","P001", E62="MRO","P002", E62="Office Supplies","P003", E62="Packaging","P004", E62="Raw Materials","P005")</f>
        <v>P004</v>
      </c>
    </row>
    <row r="63" spans="1:14" x14ac:dyDescent="0.2">
      <c r="A63" s="4" t="s">
        <v>77</v>
      </c>
      <c r="B63" s="5" t="s">
        <v>6</v>
      </c>
      <c r="C63" s="6">
        <v>45283</v>
      </c>
      <c r="D63" s="6">
        <v>45294</v>
      </c>
      <c r="E63" s="5" t="s">
        <v>10</v>
      </c>
      <c r="F63" s="5" t="s">
        <v>22</v>
      </c>
      <c r="G63" s="5">
        <v>70</v>
      </c>
      <c r="H63" s="5">
        <v>12.37</v>
      </c>
      <c r="I63" s="5">
        <v>11.04</v>
      </c>
      <c r="J63" s="5">
        <v>10</v>
      </c>
      <c r="K63" s="5" t="s">
        <v>4</v>
      </c>
      <c r="L63" s="5" t="str">
        <f t="shared" si="0"/>
        <v>Partially Delivered</v>
      </c>
      <c r="M63" t="str" cm="1">
        <f t="array" ref="M63">_xlfn.IFS(B63="Alpha_Inc","S001", B63="Delta_Logistics","S002", B63="Gamma_Co","S003", B63="Beta_Supplies","S004", B63="Epsilon_Group","S005")</f>
        <v>S002</v>
      </c>
      <c r="N63" t="str" cm="1">
        <f t="array" ref="N63">_xlfn.IFS(E63="Electronics","P001", E63="MRO","P002", E63="Office Supplies","P003", E63="Packaging","P004", E63="Raw Materials","P005")</f>
        <v>P002</v>
      </c>
    </row>
    <row r="64" spans="1:14" x14ac:dyDescent="0.2">
      <c r="A64" s="1" t="s">
        <v>78</v>
      </c>
      <c r="B64" s="2" t="s">
        <v>9</v>
      </c>
      <c r="C64" s="3">
        <v>44633</v>
      </c>
      <c r="D64" s="3">
        <v>44635</v>
      </c>
      <c r="E64" s="2" t="s">
        <v>15</v>
      </c>
      <c r="F64" s="2" t="s">
        <v>7</v>
      </c>
      <c r="G64" s="2">
        <v>890</v>
      </c>
      <c r="H64" s="2">
        <v>98.26</v>
      </c>
      <c r="I64" s="2">
        <v>93.14</v>
      </c>
      <c r="J64" s="2">
        <v>49</v>
      </c>
      <c r="K64" s="2" t="s">
        <v>4</v>
      </c>
      <c r="L64" s="2" t="str">
        <f t="shared" si="0"/>
        <v>Delivered</v>
      </c>
      <c r="M64" t="str" cm="1">
        <f t="array" ref="M64">_xlfn.IFS(B64="Alpha_Inc","S001", B64="Delta_Logistics","S002", B64="Gamma_Co","S003", B64="Beta_Supplies","S004", B64="Epsilon_Group","S005")</f>
        <v>S003</v>
      </c>
      <c r="N64" t="str" cm="1">
        <f t="array" ref="N64">_xlfn.IFS(E64="Electronics","P001", E64="MRO","P002", E64="Office Supplies","P003", E64="Packaging","P004", E64="Raw Materials","P005")</f>
        <v>P005</v>
      </c>
    </row>
    <row r="65" spans="1:14" x14ac:dyDescent="0.2">
      <c r="A65" s="4" t="s">
        <v>79</v>
      </c>
      <c r="B65" s="5" t="s">
        <v>1</v>
      </c>
      <c r="C65" s="6">
        <v>44608</v>
      </c>
      <c r="D65" s="6">
        <v>44624</v>
      </c>
      <c r="E65" s="5" t="s">
        <v>10</v>
      </c>
      <c r="F65" s="5" t="s">
        <v>7</v>
      </c>
      <c r="G65" s="5">
        <v>216</v>
      </c>
      <c r="H65" s="5">
        <v>13.95</v>
      </c>
      <c r="I65" s="5">
        <v>12.31</v>
      </c>
      <c r="J65" s="5">
        <v>5</v>
      </c>
      <c r="K65" s="5" t="s">
        <v>4</v>
      </c>
      <c r="L65" s="5" t="str">
        <f t="shared" si="0"/>
        <v>Delivered</v>
      </c>
      <c r="M65" t="str" cm="1">
        <f t="array" ref="M65">_xlfn.IFS(B65="Alpha_Inc","S001", B65="Delta_Logistics","S002", B65="Gamma_Co","S003", B65="Beta_Supplies","S004", B65="Epsilon_Group","S005")</f>
        <v>S001</v>
      </c>
      <c r="N65" t="str" cm="1">
        <f t="array" ref="N65">_xlfn.IFS(E65="Electronics","P001", E65="MRO","P002", E65="Office Supplies","P003", E65="Packaging","P004", E65="Raw Materials","P005")</f>
        <v>P002</v>
      </c>
    </row>
    <row r="66" spans="1:14" x14ac:dyDescent="0.2">
      <c r="A66" s="1" t="s">
        <v>80</v>
      </c>
      <c r="B66" s="2" t="s">
        <v>6</v>
      </c>
      <c r="C66" s="3">
        <v>45239</v>
      </c>
      <c r="D66" s="3">
        <v>45242</v>
      </c>
      <c r="E66" s="2" t="s">
        <v>13</v>
      </c>
      <c r="F66" s="2" t="s">
        <v>7</v>
      </c>
      <c r="G66" s="2">
        <v>1347</v>
      </c>
      <c r="H66" s="2">
        <v>100.13</v>
      </c>
      <c r="I66" s="2">
        <v>94.3</v>
      </c>
      <c r="J66" s="2">
        <v>200</v>
      </c>
      <c r="K66" s="2" t="s">
        <v>4</v>
      </c>
      <c r="L66" s="2" t="str">
        <f t="shared" ref="L66:L129" si="1">IF(F66="Delivered", IF(E66="","Date Missing","Delivered"), F66)</f>
        <v>Delivered</v>
      </c>
      <c r="M66" t="str" cm="1">
        <f t="array" ref="M66">_xlfn.IFS(B66="Alpha_Inc","S001", B66="Delta_Logistics","S002", B66="Gamma_Co","S003", B66="Beta_Supplies","S004", B66="Epsilon_Group","S005")</f>
        <v>S002</v>
      </c>
      <c r="N66" t="str" cm="1">
        <f t="array" ref="N66">_xlfn.IFS(E66="Electronics","P001", E66="MRO","P002", E66="Office Supplies","P003", E66="Packaging","P004", E66="Raw Materials","P005")</f>
        <v>P004</v>
      </c>
    </row>
    <row r="67" spans="1:14" x14ac:dyDescent="0.2">
      <c r="A67" s="4" t="s">
        <v>81</v>
      </c>
      <c r="B67" s="5" t="s">
        <v>9</v>
      </c>
      <c r="C67" s="6">
        <v>44795</v>
      </c>
      <c r="D67" s="6">
        <v>44798</v>
      </c>
      <c r="E67" s="5" t="s">
        <v>2</v>
      </c>
      <c r="F67" s="5" t="s">
        <v>22</v>
      </c>
      <c r="G67" s="5">
        <v>437</v>
      </c>
      <c r="H67" s="5">
        <v>59.51</v>
      </c>
      <c r="I67" s="5">
        <v>56.45</v>
      </c>
      <c r="J67" s="5">
        <v>25</v>
      </c>
      <c r="K67" s="5" t="s">
        <v>16</v>
      </c>
      <c r="L67" s="5" t="str">
        <f t="shared" si="1"/>
        <v>Partially Delivered</v>
      </c>
      <c r="M67" t="str" cm="1">
        <f t="array" ref="M67">_xlfn.IFS(B67="Alpha_Inc","S001", B67="Delta_Logistics","S002", B67="Gamma_Co","S003", B67="Beta_Supplies","S004", B67="Epsilon_Group","S005")</f>
        <v>S003</v>
      </c>
      <c r="N67" t="str" cm="1">
        <f t="array" ref="N67">_xlfn.IFS(E67="Electronics","P001", E67="MRO","P002", E67="Office Supplies","P003", E67="Packaging","P004", E67="Raw Materials","P005")</f>
        <v>P003</v>
      </c>
    </row>
    <row r="68" spans="1:14" x14ac:dyDescent="0.2">
      <c r="A68" s="1" t="s">
        <v>82</v>
      </c>
      <c r="B68" s="2" t="s">
        <v>1</v>
      </c>
      <c r="C68" s="3">
        <v>44858</v>
      </c>
      <c r="D68" s="3">
        <v>44860</v>
      </c>
      <c r="E68" s="2" t="s">
        <v>28</v>
      </c>
      <c r="F68" s="2" t="s">
        <v>7</v>
      </c>
      <c r="G68" s="2">
        <v>650</v>
      </c>
      <c r="H68" s="2">
        <v>103.84</v>
      </c>
      <c r="I68" s="2">
        <v>88.28</v>
      </c>
      <c r="J68" s="2">
        <v>12</v>
      </c>
      <c r="K68" s="2" t="s">
        <v>4</v>
      </c>
      <c r="L68" s="2" t="str">
        <f t="shared" si="1"/>
        <v>Delivered</v>
      </c>
      <c r="M68" t="str" cm="1">
        <f t="array" ref="M68">_xlfn.IFS(B68="Alpha_Inc","S001", B68="Delta_Logistics","S002", B68="Gamma_Co","S003", B68="Beta_Supplies","S004", B68="Epsilon_Group","S005")</f>
        <v>S001</v>
      </c>
      <c r="N68" t="str" cm="1">
        <f t="array" ref="N68">_xlfn.IFS(E68="Electronics","P001", E68="MRO","P002", E68="Office Supplies","P003", E68="Packaging","P004", E68="Raw Materials","P005")</f>
        <v>P001</v>
      </c>
    </row>
    <row r="69" spans="1:14" x14ac:dyDescent="0.2">
      <c r="A69" s="4" t="s">
        <v>83</v>
      </c>
      <c r="B69" s="5" t="s">
        <v>12</v>
      </c>
      <c r="C69" s="6">
        <v>44643</v>
      </c>
      <c r="D69" s="6">
        <v>44662</v>
      </c>
      <c r="E69" s="5" t="s">
        <v>2</v>
      </c>
      <c r="F69" s="5" t="s">
        <v>7</v>
      </c>
      <c r="G69" s="5">
        <v>365</v>
      </c>
      <c r="H69" s="5">
        <v>16.809999999999999</v>
      </c>
      <c r="I69" s="5">
        <v>15.41</v>
      </c>
      <c r="J69" s="5">
        <v>38</v>
      </c>
      <c r="K69" s="5" t="s">
        <v>4</v>
      </c>
      <c r="L69" s="5" t="str">
        <f t="shared" si="1"/>
        <v>Delivered</v>
      </c>
      <c r="M69" t="str" cm="1">
        <f t="array" ref="M69">_xlfn.IFS(B69="Alpha_Inc","S001", B69="Delta_Logistics","S002", B69="Gamma_Co","S003", B69="Beta_Supplies","S004", B69="Epsilon_Group","S005")</f>
        <v>S004</v>
      </c>
      <c r="N69" t="str" cm="1">
        <f t="array" ref="N69">_xlfn.IFS(E69="Electronics","P001", E69="MRO","P002", E69="Office Supplies","P003", E69="Packaging","P004", E69="Raw Materials","P005")</f>
        <v>P003</v>
      </c>
    </row>
    <row r="70" spans="1:14" x14ac:dyDescent="0.2">
      <c r="A70" s="1" t="s">
        <v>84</v>
      </c>
      <c r="B70" s="2" t="s">
        <v>18</v>
      </c>
      <c r="C70" s="3">
        <v>44800</v>
      </c>
      <c r="D70" s="3">
        <f>Table1[[#This Row],[Order_Date]]+14</f>
        <v>44814</v>
      </c>
      <c r="E70" s="2" t="s">
        <v>15</v>
      </c>
      <c r="F70" s="2" t="s">
        <v>3</v>
      </c>
      <c r="G70" s="2">
        <v>63</v>
      </c>
      <c r="H70" s="2">
        <v>61.94</v>
      </c>
      <c r="I70" s="2">
        <v>53.8</v>
      </c>
      <c r="J70" s="2">
        <v>0</v>
      </c>
      <c r="K70" s="2" t="s">
        <v>4</v>
      </c>
      <c r="L70" s="2" t="str">
        <f t="shared" si="1"/>
        <v>Cancelled</v>
      </c>
      <c r="M70" t="str" cm="1">
        <f t="array" ref="M70">_xlfn.IFS(B70="Alpha_Inc","S001", B70="Delta_Logistics","S002", B70="Gamma_Co","S003", B70="Beta_Supplies","S004", B70="Epsilon_Group","S005")</f>
        <v>S005</v>
      </c>
      <c r="N70" t="str" cm="1">
        <f t="array" ref="N70">_xlfn.IFS(E70="Electronics","P001", E70="MRO","P002", E70="Office Supplies","P003", E70="Packaging","P004", E70="Raw Materials","P005")</f>
        <v>P005</v>
      </c>
    </row>
    <row r="71" spans="1:14" x14ac:dyDescent="0.2">
      <c r="A71" s="4" t="s">
        <v>85</v>
      </c>
      <c r="B71" s="5" t="s">
        <v>1</v>
      </c>
      <c r="C71" s="6">
        <v>44665</v>
      </c>
      <c r="D71" s="6">
        <v>44673</v>
      </c>
      <c r="E71" s="5" t="s">
        <v>10</v>
      </c>
      <c r="F71" s="5" t="s">
        <v>7</v>
      </c>
      <c r="G71" s="5">
        <v>291</v>
      </c>
      <c r="H71" s="5">
        <v>98.7</v>
      </c>
      <c r="I71" s="5">
        <v>87.02</v>
      </c>
      <c r="J71" s="5">
        <v>9</v>
      </c>
      <c r="K71" s="5" t="s">
        <v>4</v>
      </c>
      <c r="L71" s="5" t="str">
        <f t="shared" si="1"/>
        <v>Delivered</v>
      </c>
      <c r="M71" t="str" cm="1">
        <f t="array" ref="M71">_xlfn.IFS(B71="Alpha_Inc","S001", B71="Delta_Logistics","S002", B71="Gamma_Co","S003", B71="Beta_Supplies","S004", B71="Epsilon_Group","S005")</f>
        <v>S001</v>
      </c>
      <c r="N71" t="str" cm="1">
        <f t="array" ref="N71">_xlfn.IFS(E71="Electronics","P001", E71="MRO","P002", E71="Office Supplies","P003", E71="Packaging","P004", E71="Raw Materials","P005")</f>
        <v>P002</v>
      </c>
    </row>
    <row r="72" spans="1:14" x14ac:dyDescent="0.2">
      <c r="A72" s="1" t="s">
        <v>86</v>
      </c>
      <c r="B72" s="2" t="s">
        <v>1</v>
      </c>
      <c r="C72" s="3">
        <v>44951</v>
      </c>
      <c r="D72" s="3">
        <v>44965</v>
      </c>
      <c r="E72" s="2" t="s">
        <v>10</v>
      </c>
      <c r="F72" s="2" t="s">
        <v>3</v>
      </c>
      <c r="G72" s="2">
        <v>826</v>
      </c>
      <c r="H72" s="2">
        <v>60.5</v>
      </c>
      <c r="I72" s="2">
        <v>57.18</v>
      </c>
      <c r="J72" s="2">
        <v>18</v>
      </c>
      <c r="K72" s="2" t="s">
        <v>4</v>
      </c>
      <c r="L72" s="2" t="str">
        <f t="shared" si="1"/>
        <v>Cancelled</v>
      </c>
      <c r="M72" t="str" cm="1">
        <f t="array" ref="M72">_xlfn.IFS(B72="Alpha_Inc","S001", B72="Delta_Logistics","S002", B72="Gamma_Co","S003", B72="Beta_Supplies","S004", B72="Epsilon_Group","S005")</f>
        <v>S001</v>
      </c>
      <c r="N72" t="str" cm="1">
        <f t="array" ref="N72">_xlfn.IFS(E72="Electronics","P001", E72="MRO","P002", E72="Office Supplies","P003", E72="Packaging","P004", E72="Raw Materials","P005")</f>
        <v>P002</v>
      </c>
    </row>
    <row r="73" spans="1:14" x14ac:dyDescent="0.2">
      <c r="A73" s="4" t="s">
        <v>87</v>
      </c>
      <c r="B73" s="5" t="s">
        <v>6</v>
      </c>
      <c r="C73" s="6">
        <v>44846</v>
      </c>
      <c r="D73" s="6">
        <v>44866</v>
      </c>
      <c r="E73" s="5" t="s">
        <v>28</v>
      </c>
      <c r="F73" s="5" t="s">
        <v>24</v>
      </c>
      <c r="G73" s="5">
        <v>1419</v>
      </c>
      <c r="H73" s="5">
        <v>69.64</v>
      </c>
      <c r="I73" s="5">
        <v>59.28</v>
      </c>
      <c r="J73" s="5">
        <v>194</v>
      </c>
      <c r="K73" s="5" t="s">
        <v>4</v>
      </c>
      <c r="L73" s="5" t="str">
        <f t="shared" si="1"/>
        <v>Pending</v>
      </c>
      <c r="M73" t="str" cm="1">
        <f t="array" ref="M73">_xlfn.IFS(B73="Alpha_Inc","S001", B73="Delta_Logistics","S002", B73="Gamma_Co","S003", B73="Beta_Supplies","S004", B73="Epsilon_Group","S005")</f>
        <v>S002</v>
      </c>
      <c r="N73" t="str" cm="1">
        <f t="array" ref="N73">_xlfn.IFS(E73="Electronics","P001", E73="MRO","P002", E73="Office Supplies","P003", E73="Packaging","P004", E73="Raw Materials","P005")</f>
        <v>P001</v>
      </c>
    </row>
    <row r="74" spans="1:14" x14ac:dyDescent="0.2">
      <c r="A74" s="1" t="s">
        <v>88</v>
      </c>
      <c r="B74" s="2" t="s">
        <v>9</v>
      </c>
      <c r="C74" s="3">
        <v>45026</v>
      </c>
      <c r="D74" s="3">
        <v>45043</v>
      </c>
      <c r="E74" s="2" t="s">
        <v>2</v>
      </c>
      <c r="F74" s="2" t="s">
        <v>7</v>
      </c>
      <c r="G74" s="2">
        <v>614</v>
      </c>
      <c r="H74" s="2">
        <v>78.06</v>
      </c>
      <c r="I74" s="2">
        <v>73.95</v>
      </c>
      <c r="J74" s="2">
        <v>40</v>
      </c>
      <c r="K74" s="2" t="s">
        <v>4</v>
      </c>
      <c r="L74" s="2" t="str">
        <f t="shared" si="1"/>
        <v>Delivered</v>
      </c>
      <c r="M74" t="str" cm="1">
        <f t="array" ref="M74">_xlfn.IFS(B74="Alpha_Inc","S001", B74="Delta_Logistics","S002", B74="Gamma_Co","S003", B74="Beta_Supplies","S004", B74="Epsilon_Group","S005")</f>
        <v>S003</v>
      </c>
      <c r="N74" t="str" cm="1">
        <f t="array" ref="N74">_xlfn.IFS(E74="Electronics","P001", E74="MRO","P002", E74="Office Supplies","P003", E74="Packaging","P004", E74="Raw Materials","P005")</f>
        <v>P003</v>
      </c>
    </row>
    <row r="75" spans="1:14" x14ac:dyDescent="0.2">
      <c r="A75" s="4" t="s">
        <v>89</v>
      </c>
      <c r="B75" s="5" t="s">
        <v>1</v>
      </c>
      <c r="C75" s="6">
        <v>45212</v>
      </c>
      <c r="D75" s="6">
        <v>45227</v>
      </c>
      <c r="E75" s="5" t="s">
        <v>28</v>
      </c>
      <c r="F75" s="5" t="s">
        <v>7</v>
      </c>
      <c r="G75" s="5">
        <v>947</v>
      </c>
      <c r="H75" s="5">
        <v>56.25</v>
      </c>
      <c r="I75" s="5">
        <v>54.25</v>
      </c>
      <c r="J75" s="5">
        <v>19</v>
      </c>
      <c r="K75" s="5" t="s">
        <v>4</v>
      </c>
      <c r="L75" s="5" t="str">
        <f t="shared" si="1"/>
        <v>Delivered</v>
      </c>
      <c r="M75" t="str" cm="1">
        <f t="array" ref="M75">_xlfn.IFS(B75="Alpha_Inc","S001", B75="Delta_Logistics","S002", B75="Gamma_Co","S003", B75="Beta_Supplies","S004", B75="Epsilon_Group","S005")</f>
        <v>S001</v>
      </c>
      <c r="N75" t="str" cm="1">
        <f t="array" ref="N75">_xlfn.IFS(E75="Electronics","P001", E75="MRO","P002", E75="Office Supplies","P003", E75="Packaging","P004", E75="Raw Materials","P005")</f>
        <v>P001</v>
      </c>
    </row>
    <row r="76" spans="1:14" x14ac:dyDescent="0.2">
      <c r="A76" s="1" t="s">
        <v>90</v>
      </c>
      <c r="B76" s="2" t="s">
        <v>18</v>
      </c>
      <c r="C76" s="3">
        <v>44935</v>
      </c>
      <c r="D76" s="3">
        <v>44954</v>
      </c>
      <c r="E76" s="2" t="s">
        <v>15</v>
      </c>
      <c r="F76" s="2" t="s">
        <v>7</v>
      </c>
      <c r="G76" s="2">
        <v>1413</v>
      </c>
      <c r="H76" s="2">
        <v>70.47</v>
      </c>
      <c r="I76" s="2">
        <v>69.650000000000006</v>
      </c>
      <c r="J76" s="2">
        <v>0</v>
      </c>
      <c r="K76" s="2" t="s">
        <v>4</v>
      </c>
      <c r="L76" s="2" t="str">
        <f t="shared" si="1"/>
        <v>Delivered</v>
      </c>
      <c r="M76" t="str" cm="1">
        <f t="array" ref="M76">_xlfn.IFS(B76="Alpha_Inc","S001", B76="Delta_Logistics","S002", B76="Gamma_Co","S003", B76="Beta_Supplies","S004", B76="Epsilon_Group","S005")</f>
        <v>S005</v>
      </c>
      <c r="N76" t="str" cm="1">
        <f t="array" ref="N76">_xlfn.IFS(E76="Electronics","P001", E76="MRO","P002", E76="Office Supplies","P003", E76="Packaging","P004", E76="Raw Materials","P005")</f>
        <v>P005</v>
      </c>
    </row>
    <row r="77" spans="1:14" x14ac:dyDescent="0.2">
      <c r="A77" s="4" t="s">
        <v>91</v>
      </c>
      <c r="B77" s="5" t="s">
        <v>1</v>
      </c>
      <c r="C77" s="6">
        <v>44728</v>
      </c>
      <c r="D77" s="6">
        <f>Table1[[#This Row],[Order_Date]]+14</f>
        <v>44742</v>
      </c>
      <c r="E77" s="5" t="s">
        <v>2</v>
      </c>
      <c r="F77" s="5" t="s">
        <v>22</v>
      </c>
      <c r="G77" s="5">
        <v>141</v>
      </c>
      <c r="H77" s="5">
        <v>64.150000000000006</v>
      </c>
      <c r="I77" s="5">
        <v>58.32</v>
      </c>
      <c r="J77" s="5">
        <v>0</v>
      </c>
      <c r="K77" s="5" t="s">
        <v>4</v>
      </c>
      <c r="L77" s="5" t="str">
        <f t="shared" si="1"/>
        <v>Partially Delivered</v>
      </c>
      <c r="M77" t="str" cm="1">
        <f t="array" ref="M77">_xlfn.IFS(B77="Alpha_Inc","S001", B77="Delta_Logistics","S002", B77="Gamma_Co","S003", B77="Beta_Supplies","S004", B77="Epsilon_Group","S005")</f>
        <v>S001</v>
      </c>
      <c r="N77" t="str" cm="1">
        <f t="array" ref="N77">_xlfn.IFS(E77="Electronics","P001", E77="MRO","P002", E77="Office Supplies","P003", E77="Packaging","P004", E77="Raw Materials","P005")</f>
        <v>P003</v>
      </c>
    </row>
    <row r="78" spans="1:14" x14ac:dyDescent="0.2">
      <c r="A78" s="1" t="s">
        <v>92</v>
      </c>
      <c r="B78" s="2" t="s">
        <v>1</v>
      </c>
      <c r="C78" s="3">
        <v>44941</v>
      </c>
      <c r="D78" s="3">
        <v>44961</v>
      </c>
      <c r="E78" s="2" t="s">
        <v>2</v>
      </c>
      <c r="F78" s="2" t="s">
        <v>7</v>
      </c>
      <c r="G78" s="2">
        <v>1440</v>
      </c>
      <c r="H78" s="2">
        <v>96.57</v>
      </c>
      <c r="I78" s="2">
        <v>83.87</v>
      </c>
      <c r="J78" s="2">
        <v>36</v>
      </c>
      <c r="K78" s="2" t="s">
        <v>4</v>
      </c>
      <c r="L78" s="2" t="str">
        <f t="shared" si="1"/>
        <v>Delivered</v>
      </c>
      <c r="M78" t="str" cm="1">
        <f t="array" ref="M78">_xlfn.IFS(B78="Alpha_Inc","S001", B78="Delta_Logistics","S002", B78="Gamma_Co","S003", B78="Beta_Supplies","S004", B78="Epsilon_Group","S005")</f>
        <v>S001</v>
      </c>
      <c r="N78" t="str" cm="1">
        <f t="array" ref="N78">_xlfn.IFS(E78="Electronics","P001", E78="MRO","P002", E78="Office Supplies","P003", E78="Packaging","P004", E78="Raw Materials","P005")</f>
        <v>P003</v>
      </c>
    </row>
    <row r="79" spans="1:14" x14ac:dyDescent="0.2">
      <c r="A79" s="4" t="s">
        <v>93</v>
      </c>
      <c r="B79" s="5" t="s">
        <v>6</v>
      </c>
      <c r="C79" s="6">
        <v>44925</v>
      </c>
      <c r="D79" s="6">
        <v>44929</v>
      </c>
      <c r="E79" s="5" t="s">
        <v>15</v>
      </c>
      <c r="F79" s="5" t="s">
        <v>7</v>
      </c>
      <c r="G79" s="5">
        <v>1005</v>
      </c>
      <c r="H79" s="5">
        <v>14.87</v>
      </c>
      <c r="I79" s="5">
        <v>12.79</v>
      </c>
      <c r="J79" s="5">
        <v>0</v>
      </c>
      <c r="K79" s="5" t="s">
        <v>16</v>
      </c>
      <c r="L79" s="5" t="str">
        <f t="shared" si="1"/>
        <v>Delivered</v>
      </c>
      <c r="M79" t="str" cm="1">
        <f t="array" ref="M79">_xlfn.IFS(B79="Alpha_Inc","S001", B79="Delta_Logistics","S002", B79="Gamma_Co","S003", B79="Beta_Supplies","S004", B79="Epsilon_Group","S005")</f>
        <v>S002</v>
      </c>
      <c r="N79" t="str" cm="1">
        <f t="array" ref="N79">_xlfn.IFS(E79="Electronics","P001", E79="MRO","P002", E79="Office Supplies","P003", E79="Packaging","P004", E79="Raw Materials","P005")</f>
        <v>P005</v>
      </c>
    </row>
    <row r="80" spans="1:14" x14ac:dyDescent="0.2">
      <c r="A80" s="1" t="s">
        <v>94</v>
      </c>
      <c r="B80" s="2" t="s">
        <v>1</v>
      </c>
      <c r="C80" s="3">
        <v>44776</v>
      </c>
      <c r="D80" s="3">
        <f>Table1[[#This Row],[Order_Date]]+14</f>
        <v>44790</v>
      </c>
      <c r="E80" s="2" t="s">
        <v>10</v>
      </c>
      <c r="F80" s="2" t="s">
        <v>7</v>
      </c>
      <c r="G80" s="2">
        <v>1528</v>
      </c>
      <c r="H80" s="2">
        <v>36.520000000000003</v>
      </c>
      <c r="I80" s="2">
        <v>33</v>
      </c>
      <c r="J80" s="2">
        <v>31</v>
      </c>
      <c r="K80" s="2" t="s">
        <v>16</v>
      </c>
      <c r="L80" s="2" t="str">
        <f t="shared" si="1"/>
        <v>Delivered</v>
      </c>
      <c r="M80" t="str" cm="1">
        <f t="array" ref="M80">_xlfn.IFS(B80="Alpha_Inc","S001", B80="Delta_Logistics","S002", B80="Gamma_Co","S003", B80="Beta_Supplies","S004", B80="Epsilon_Group","S005")</f>
        <v>S001</v>
      </c>
      <c r="N80" t="str" cm="1">
        <f t="array" ref="N80">_xlfn.IFS(E80="Electronics","P001", E80="MRO","P002", E80="Office Supplies","P003", E80="Packaging","P004", E80="Raw Materials","P005")</f>
        <v>P002</v>
      </c>
    </row>
    <row r="81" spans="1:14" x14ac:dyDescent="0.2">
      <c r="A81" s="4" t="s">
        <v>95</v>
      </c>
      <c r="B81" s="5" t="s">
        <v>9</v>
      </c>
      <c r="C81" s="6">
        <v>45248</v>
      </c>
      <c r="D81" s="6">
        <v>45255</v>
      </c>
      <c r="E81" s="5" t="s">
        <v>10</v>
      </c>
      <c r="F81" s="5" t="s">
        <v>7</v>
      </c>
      <c r="G81" s="5">
        <v>1501</v>
      </c>
      <c r="H81" s="5">
        <v>106.05</v>
      </c>
      <c r="I81" s="5">
        <v>100.99</v>
      </c>
      <c r="J81" s="5">
        <v>77</v>
      </c>
      <c r="K81" s="5" t="s">
        <v>16</v>
      </c>
      <c r="L81" s="5" t="str">
        <f t="shared" si="1"/>
        <v>Delivered</v>
      </c>
      <c r="M81" t="str" cm="1">
        <f t="array" ref="M81">_xlfn.IFS(B81="Alpha_Inc","S001", B81="Delta_Logistics","S002", B81="Gamma_Co","S003", B81="Beta_Supplies","S004", B81="Epsilon_Group","S005")</f>
        <v>S003</v>
      </c>
      <c r="N81" t="str" cm="1">
        <f t="array" ref="N81">_xlfn.IFS(E81="Electronics","P001", E81="MRO","P002", E81="Office Supplies","P003", E81="Packaging","P004", E81="Raw Materials","P005")</f>
        <v>P002</v>
      </c>
    </row>
    <row r="82" spans="1:14" x14ac:dyDescent="0.2">
      <c r="A82" s="1" t="s">
        <v>96</v>
      </c>
      <c r="B82" s="2" t="s">
        <v>6</v>
      </c>
      <c r="C82" s="3">
        <v>44835</v>
      </c>
      <c r="D82" s="3">
        <v>44838</v>
      </c>
      <c r="E82" s="2" t="s">
        <v>13</v>
      </c>
      <c r="F82" s="2" t="s">
        <v>7</v>
      </c>
      <c r="G82" s="2">
        <v>558</v>
      </c>
      <c r="H82" s="2">
        <v>94.18</v>
      </c>
      <c r="I82" s="2">
        <v>81.400000000000006</v>
      </c>
      <c r="J82" s="2">
        <v>0</v>
      </c>
      <c r="K82" s="2" t="s">
        <v>16</v>
      </c>
      <c r="L82" s="2" t="str">
        <f t="shared" si="1"/>
        <v>Delivered</v>
      </c>
      <c r="M82" t="str" cm="1">
        <f t="array" ref="M82">_xlfn.IFS(B82="Alpha_Inc","S001", B82="Delta_Logistics","S002", B82="Gamma_Co","S003", B82="Beta_Supplies","S004", B82="Epsilon_Group","S005")</f>
        <v>S002</v>
      </c>
      <c r="N82" t="str" cm="1">
        <f t="array" ref="N82">_xlfn.IFS(E82="Electronics","P001", E82="MRO","P002", E82="Office Supplies","P003", E82="Packaging","P004", E82="Raw Materials","P005")</f>
        <v>P004</v>
      </c>
    </row>
    <row r="83" spans="1:14" x14ac:dyDescent="0.2">
      <c r="A83" s="4" t="s">
        <v>97</v>
      </c>
      <c r="B83" s="5" t="s">
        <v>12</v>
      </c>
      <c r="C83" s="6">
        <v>45280</v>
      </c>
      <c r="D83" s="6">
        <v>45286</v>
      </c>
      <c r="E83" s="5" t="s">
        <v>10</v>
      </c>
      <c r="F83" s="5" t="s">
        <v>7</v>
      </c>
      <c r="G83" s="5">
        <v>825</v>
      </c>
      <c r="H83" s="5">
        <v>56.88</v>
      </c>
      <c r="I83" s="5">
        <v>50.84</v>
      </c>
      <c r="J83" s="5">
        <v>0</v>
      </c>
      <c r="K83" s="5" t="s">
        <v>4</v>
      </c>
      <c r="L83" s="5" t="str">
        <f t="shared" si="1"/>
        <v>Delivered</v>
      </c>
      <c r="M83" t="str" cm="1">
        <f t="array" ref="M83">_xlfn.IFS(B83="Alpha_Inc","S001", B83="Delta_Logistics","S002", B83="Gamma_Co","S003", B83="Beta_Supplies","S004", B83="Epsilon_Group","S005")</f>
        <v>S004</v>
      </c>
      <c r="N83" t="str" cm="1">
        <f t="array" ref="N83">_xlfn.IFS(E83="Electronics","P001", E83="MRO","P002", E83="Office Supplies","P003", E83="Packaging","P004", E83="Raw Materials","P005")</f>
        <v>P002</v>
      </c>
    </row>
    <row r="84" spans="1:14" x14ac:dyDescent="0.2">
      <c r="A84" s="1" t="s">
        <v>98</v>
      </c>
      <c r="B84" s="2" t="s">
        <v>12</v>
      </c>
      <c r="C84" s="3">
        <v>45261</v>
      </c>
      <c r="D84" s="3">
        <v>45267</v>
      </c>
      <c r="E84" s="2" t="s">
        <v>28</v>
      </c>
      <c r="F84" s="2" t="s">
        <v>3</v>
      </c>
      <c r="G84" s="2">
        <v>84</v>
      </c>
      <c r="H84" s="2">
        <v>73.38</v>
      </c>
      <c r="I84" s="2">
        <v>71.42</v>
      </c>
      <c r="J84" s="2">
        <v>9</v>
      </c>
      <c r="K84" s="2" t="s">
        <v>4</v>
      </c>
      <c r="L84" s="2" t="str">
        <f t="shared" si="1"/>
        <v>Cancelled</v>
      </c>
      <c r="M84" t="str" cm="1">
        <f t="array" ref="M84">_xlfn.IFS(B84="Alpha_Inc","S001", B84="Delta_Logistics","S002", B84="Gamma_Co","S003", B84="Beta_Supplies","S004", B84="Epsilon_Group","S005")</f>
        <v>S004</v>
      </c>
      <c r="N84" t="str" cm="1">
        <f t="array" ref="N84">_xlfn.IFS(E84="Electronics","P001", E84="MRO","P002", E84="Office Supplies","P003", E84="Packaging","P004", E84="Raw Materials","P005")</f>
        <v>P001</v>
      </c>
    </row>
    <row r="85" spans="1:14" x14ac:dyDescent="0.2">
      <c r="A85" s="4" t="s">
        <v>99</v>
      </c>
      <c r="B85" s="5" t="s">
        <v>6</v>
      </c>
      <c r="C85" s="6">
        <v>45225</v>
      </c>
      <c r="D85" s="6">
        <v>45240</v>
      </c>
      <c r="E85" s="5" t="s">
        <v>15</v>
      </c>
      <c r="F85" s="5" t="s">
        <v>7</v>
      </c>
      <c r="G85" s="5">
        <v>255</v>
      </c>
      <c r="H85" s="5">
        <v>38.64</v>
      </c>
      <c r="I85" s="5">
        <v>33.590000000000003</v>
      </c>
      <c r="J85" s="5">
        <v>27</v>
      </c>
      <c r="K85" s="5" t="s">
        <v>16</v>
      </c>
      <c r="L85" s="5" t="str">
        <f t="shared" si="1"/>
        <v>Delivered</v>
      </c>
      <c r="M85" t="str" cm="1">
        <f t="array" ref="M85">_xlfn.IFS(B85="Alpha_Inc","S001", B85="Delta_Logistics","S002", B85="Gamma_Co","S003", B85="Beta_Supplies","S004", B85="Epsilon_Group","S005")</f>
        <v>S002</v>
      </c>
      <c r="N85" t="str" cm="1">
        <f t="array" ref="N85">_xlfn.IFS(E85="Electronics","P001", E85="MRO","P002", E85="Office Supplies","P003", E85="Packaging","P004", E85="Raw Materials","P005")</f>
        <v>P005</v>
      </c>
    </row>
    <row r="86" spans="1:14" x14ac:dyDescent="0.2">
      <c r="A86" s="1" t="s">
        <v>100</v>
      </c>
      <c r="B86" s="2" t="s">
        <v>9</v>
      </c>
      <c r="C86" s="3">
        <v>44635</v>
      </c>
      <c r="D86" s="3">
        <v>44651</v>
      </c>
      <c r="E86" s="2" t="s">
        <v>10</v>
      </c>
      <c r="F86" s="2" t="s">
        <v>7</v>
      </c>
      <c r="G86" s="2">
        <v>1154</v>
      </c>
      <c r="H86" s="2">
        <v>27.2</v>
      </c>
      <c r="I86" s="2">
        <v>26.07</v>
      </c>
      <c r="J86" s="2">
        <v>58</v>
      </c>
      <c r="K86" s="2" t="s">
        <v>4</v>
      </c>
      <c r="L86" s="2" t="str">
        <f t="shared" si="1"/>
        <v>Delivered</v>
      </c>
      <c r="M86" t="str" cm="1">
        <f t="array" ref="M86">_xlfn.IFS(B86="Alpha_Inc","S001", B86="Delta_Logistics","S002", B86="Gamma_Co","S003", B86="Beta_Supplies","S004", B86="Epsilon_Group","S005")</f>
        <v>S003</v>
      </c>
      <c r="N86" t="str" cm="1">
        <f t="array" ref="N86">_xlfn.IFS(E86="Electronics","P001", E86="MRO","P002", E86="Office Supplies","P003", E86="Packaging","P004", E86="Raw Materials","P005")</f>
        <v>P002</v>
      </c>
    </row>
    <row r="87" spans="1:14" x14ac:dyDescent="0.2">
      <c r="A87" s="4" t="s">
        <v>101</v>
      </c>
      <c r="B87" s="5" t="s">
        <v>6</v>
      </c>
      <c r="C87" s="6">
        <v>45185</v>
      </c>
      <c r="D87" s="6">
        <v>45193</v>
      </c>
      <c r="E87" s="5" t="s">
        <v>2</v>
      </c>
      <c r="F87" s="5" t="s">
        <v>7</v>
      </c>
      <c r="G87" s="5">
        <v>1635</v>
      </c>
      <c r="H87" s="5">
        <v>56.91</v>
      </c>
      <c r="I87" s="5">
        <v>54.37</v>
      </c>
      <c r="J87" s="5">
        <v>262</v>
      </c>
      <c r="K87" s="5" t="s">
        <v>16</v>
      </c>
      <c r="L87" s="5" t="str">
        <f t="shared" si="1"/>
        <v>Delivered</v>
      </c>
      <c r="M87" t="str" cm="1">
        <f t="array" ref="M87">_xlfn.IFS(B87="Alpha_Inc","S001", B87="Delta_Logistics","S002", B87="Gamma_Co","S003", B87="Beta_Supplies","S004", B87="Epsilon_Group","S005")</f>
        <v>S002</v>
      </c>
      <c r="N87" t="str" cm="1">
        <f t="array" ref="N87">_xlfn.IFS(E87="Electronics","P001", E87="MRO","P002", E87="Office Supplies","P003", E87="Packaging","P004", E87="Raw Materials","P005")</f>
        <v>P003</v>
      </c>
    </row>
    <row r="88" spans="1:14" x14ac:dyDescent="0.2">
      <c r="A88" s="1" t="s">
        <v>102</v>
      </c>
      <c r="B88" s="2" t="s">
        <v>6</v>
      </c>
      <c r="C88" s="3">
        <v>45212</v>
      </c>
      <c r="D88" s="3">
        <v>45222</v>
      </c>
      <c r="E88" s="2" t="s">
        <v>15</v>
      </c>
      <c r="F88" s="2" t="s">
        <v>7</v>
      </c>
      <c r="G88" s="2">
        <v>1945</v>
      </c>
      <c r="H88" s="2">
        <v>46.19</v>
      </c>
      <c r="I88" s="2">
        <v>40.119999999999997</v>
      </c>
      <c r="J88" s="2">
        <v>278</v>
      </c>
      <c r="K88" s="2" t="s">
        <v>16</v>
      </c>
      <c r="L88" s="2" t="str">
        <f t="shared" si="1"/>
        <v>Delivered</v>
      </c>
      <c r="M88" t="str" cm="1">
        <f t="array" ref="M88">_xlfn.IFS(B88="Alpha_Inc","S001", B88="Delta_Logistics","S002", B88="Gamma_Co","S003", B88="Beta_Supplies","S004", B88="Epsilon_Group","S005")</f>
        <v>S002</v>
      </c>
      <c r="N88" t="str" cm="1">
        <f t="array" ref="N88">_xlfn.IFS(E88="Electronics","P001", E88="MRO","P002", E88="Office Supplies","P003", E88="Packaging","P004", E88="Raw Materials","P005")</f>
        <v>P005</v>
      </c>
    </row>
    <row r="89" spans="1:14" x14ac:dyDescent="0.2">
      <c r="A89" s="4" t="s">
        <v>103</v>
      </c>
      <c r="B89" s="5" t="s">
        <v>6</v>
      </c>
      <c r="C89" s="6">
        <v>44737</v>
      </c>
      <c r="D89" s="6">
        <v>44752</v>
      </c>
      <c r="E89" s="5" t="s">
        <v>10</v>
      </c>
      <c r="F89" s="5" t="s">
        <v>22</v>
      </c>
      <c r="G89" s="5">
        <v>1461</v>
      </c>
      <c r="H89" s="5">
        <v>64.09</v>
      </c>
      <c r="I89" s="5">
        <v>63.39</v>
      </c>
      <c r="J89" s="5">
        <v>228</v>
      </c>
      <c r="K89" s="5" t="s">
        <v>16</v>
      </c>
      <c r="L89" s="5" t="str">
        <f t="shared" si="1"/>
        <v>Partially Delivered</v>
      </c>
      <c r="M89" t="str" cm="1">
        <f t="array" ref="M89">_xlfn.IFS(B89="Alpha_Inc","S001", B89="Delta_Logistics","S002", B89="Gamma_Co","S003", B89="Beta_Supplies","S004", B89="Epsilon_Group","S005")</f>
        <v>S002</v>
      </c>
      <c r="N89" t="str" cm="1">
        <f t="array" ref="N89">_xlfn.IFS(E89="Electronics","P001", E89="MRO","P002", E89="Office Supplies","P003", E89="Packaging","P004", E89="Raw Materials","P005")</f>
        <v>P002</v>
      </c>
    </row>
    <row r="90" spans="1:14" x14ac:dyDescent="0.2">
      <c r="A90" s="1" t="s">
        <v>104</v>
      </c>
      <c r="B90" s="2" t="s">
        <v>6</v>
      </c>
      <c r="C90" s="3">
        <v>45108</v>
      </c>
      <c r="D90" s="3">
        <v>45116</v>
      </c>
      <c r="E90" s="2" t="s">
        <v>28</v>
      </c>
      <c r="F90" s="2" t="s">
        <v>7</v>
      </c>
      <c r="G90" s="2">
        <v>1075</v>
      </c>
      <c r="H90" s="2">
        <v>18.53</v>
      </c>
      <c r="I90" s="2">
        <v>16.12</v>
      </c>
      <c r="J90" s="2">
        <v>147</v>
      </c>
      <c r="K90" s="2" t="s">
        <v>4</v>
      </c>
      <c r="L90" s="2" t="str">
        <f t="shared" si="1"/>
        <v>Delivered</v>
      </c>
      <c r="M90" t="str" cm="1">
        <f t="array" ref="M90">_xlfn.IFS(B90="Alpha_Inc","S001", B90="Delta_Logistics","S002", B90="Gamma_Co","S003", B90="Beta_Supplies","S004", B90="Epsilon_Group","S005")</f>
        <v>S002</v>
      </c>
      <c r="N90" t="str" cm="1">
        <f t="array" ref="N90">_xlfn.IFS(E90="Electronics","P001", E90="MRO","P002", E90="Office Supplies","P003", E90="Packaging","P004", E90="Raw Materials","P005")</f>
        <v>P001</v>
      </c>
    </row>
    <row r="91" spans="1:14" x14ac:dyDescent="0.2">
      <c r="A91" s="4" t="s">
        <v>105</v>
      </c>
      <c r="B91" s="5" t="s">
        <v>1</v>
      </c>
      <c r="C91" s="6">
        <v>44812</v>
      </c>
      <c r="D91" s="6">
        <f>Table1[[#This Row],[Order_Date]]+14</f>
        <v>44826</v>
      </c>
      <c r="E91" s="5" t="s">
        <v>13</v>
      </c>
      <c r="F91" s="5" t="s">
        <v>7</v>
      </c>
      <c r="G91" s="5">
        <v>1071</v>
      </c>
      <c r="H91" s="5">
        <v>101.6</v>
      </c>
      <c r="I91" s="5">
        <v>93.91</v>
      </c>
      <c r="J91" s="5">
        <v>25</v>
      </c>
      <c r="K91" s="5" t="s">
        <v>4</v>
      </c>
      <c r="L91" s="5" t="str">
        <f t="shared" si="1"/>
        <v>Delivered</v>
      </c>
      <c r="M91" t="str" cm="1">
        <f t="array" ref="M91">_xlfn.IFS(B91="Alpha_Inc","S001", B91="Delta_Logistics","S002", B91="Gamma_Co","S003", B91="Beta_Supplies","S004", B91="Epsilon_Group","S005")</f>
        <v>S001</v>
      </c>
      <c r="N91" t="str" cm="1">
        <f t="array" ref="N91">_xlfn.IFS(E91="Electronics","P001", E91="MRO","P002", E91="Office Supplies","P003", E91="Packaging","P004", E91="Raw Materials","P005")</f>
        <v>P004</v>
      </c>
    </row>
    <row r="92" spans="1:14" x14ac:dyDescent="0.2">
      <c r="A92" s="1" t="s">
        <v>106</v>
      </c>
      <c r="B92" s="2" t="s">
        <v>18</v>
      </c>
      <c r="C92" s="3">
        <v>44729</v>
      </c>
      <c r="D92" s="3">
        <v>44748</v>
      </c>
      <c r="E92" s="2" t="s">
        <v>13</v>
      </c>
      <c r="F92" s="2" t="s">
        <v>24</v>
      </c>
      <c r="G92" s="2">
        <v>1463</v>
      </c>
      <c r="H92" s="2">
        <v>101.23</v>
      </c>
      <c r="I92" s="2">
        <v>86.17</v>
      </c>
      <c r="J92" s="2">
        <v>43</v>
      </c>
      <c r="K92" s="2" t="s">
        <v>4</v>
      </c>
      <c r="L92" s="2" t="str">
        <f t="shared" si="1"/>
        <v>Pending</v>
      </c>
      <c r="M92" t="str" cm="1">
        <f t="array" ref="M92">_xlfn.IFS(B92="Alpha_Inc","S001", B92="Delta_Logistics","S002", B92="Gamma_Co","S003", B92="Beta_Supplies","S004", B92="Epsilon_Group","S005")</f>
        <v>S005</v>
      </c>
      <c r="N92" t="str" cm="1">
        <f t="array" ref="N92">_xlfn.IFS(E92="Electronics","P001", E92="MRO","P002", E92="Office Supplies","P003", E92="Packaging","P004", E92="Raw Materials","P005")</f>
        <v>P004</v>
      </c>
    </row>
    <row r="93" spans="1:14" x14ac:dyDescent="0.2">
      <c r="A93" s="4" t="s">
        <v>107</v>
      </c>
      <c r="B93" s="5" t="s">
        <v>12</v>
      </c>
      <c r="C93" s="6">
        <v>45035</v>
      </c>
      <c r="D93" s="6">
        <v>45042</v>
      </c>
      <c r="E93" s="5" t="s">
        <v>15</v>
      </c>
      <c r="F93" s="5" t="s">
        <v>7</v>
      </c>
      <c r="G93" s="5">
        <v>615</v>
      </c>
      <c r="H93" s="5">
        <v>78.3</v>
      </c>
      <c r="I93" s="5">
        <v>73.680000000000007</v>
      </c>
      <c r="J93" s="5">
        <v>69</v>
      </c>
      <c r="K93" s="5" t="s">
        <v>4</v>
      </c>
      <c r="L93" s="5" t="str">
        <f t="shared" si="1"/>
        <v>Delivered</v>
      </c>
      <c r="M93" t="str" cm="1">
        <f t="array" ref="M93">_xlfn.IFS(B93="Alpha_Inc","S001", B93="Delta_Logistics","S002", B93="Gamma_Co","S003", B93="Beta_Supplies","S004", B93="Epsilon_Group","S005")</f>
        <v>S004</v>
      </c>
      <c r="N93" t="str" cm="1">
        <f t="array" ref="N93">_xlfn.IFS(E93="Electronics","P001", E93="MRO","P002", E93="Office Supplies","P003", E93="Packaging","P004", E93="Raw Materials","P005")</f>
        <v>P005</v>
      </c>
    </row>
    <row r="94" spans="1:14" x14ac:dyDescent="0.2">
      <c r="A94" s="1" t="s">
        <v>108</v>
      </c>
      <c r="B94" s="2" t="s">
        <v>9</v>
      </c>
      <c r="C94" s="3">
        <v>44950</v>
      </c>
      <c r="D94" s="3">
        <v>44968</v>
      </c>
      <c r="E94" s="2" t="s">
        <v>28</v>
      </c>
      <c r="F94" s="2" t="s">
        <v>7</v>
      </c>
      <c r="G94" s="2">
        <v>1179</v>
      </c>
      <c r="H94" s="2">
        <v>61.74</v>
      </c>
      <c r="I94" s="2">
        <v>56.28</v>
      </c>
      <c r="J94" s="2">
        <v>0</v>
      </c>
      <c r="K94" s="2" t="s">
        <v>4</v>
      </c>
      <c r="L94" s="2" t="str">
        <f t="shared" si="1"/>
        <v>Delivered</v>
      </c>
      <c r="M94" t="str" cm="1">
        <f t="array" ref="M94">_xlfn.IFS(B94="Alpha_Inc","S001", B94="Delta_Logistics","S002", B94="Gamma_Co","S003", B94="Beta_Supplies","S004", B94="Epsilon_Group","S005")</f>
        <v>S003</v>
      </c>
      <c r="N94" t="str" cm="1">
        <f t="array" ref="N94">_xlfn.IFS(E94="Electronics","P001", E94="MRO","P002", E94="Office Supplies","P003", E94="Packaging","P004", E94="Raw Materials","P005")</f>
        <v>P001</v>
      </c>
    </row>
    <row r="95" spans="1:14" x14ac:dyDescent="0.2">
      <c r="A95" s="4" t="s">
        <v>109</v>
      </c>
      <c r="B95" s="5" t="s">
        <v>1</v>
      </c>
      <c r="C95" s="6">
        <v>44838</v>
      </c>
      <c r="D95" s="6">
        <v>44843</v>
      </c>
      <c r="E95" s="5" t="s">
        <v>28</v>
      </c>
      <c r="F95" s="5" t="s">
        <v>22</v>
      </c>
      <c r="G95" s="5">
        <v>1845</v>
      </c>
      <c r="H95" s="5">
        <v>39.56</v>
      </c>
      <c r="I95" s="5">
        <v>37.630000000000003</v>
      </c>
      <c r="J95" s="5">
        <v>45</v>
      </c>
      <c r="K95" s="5" t="s">
        <v>4</v>
      </c>
      <c r="L95" s="5" t="str">
        <f t="shared" si="1"/>
        <v>Partially Delivered</v>
      </c>
      <c r="M95" t="str" cm="1">
        <f t="array" ref="M95">_xlfn.IFS(B95="Alpha_Inc","S001", B95="Delta_Logistics","S002", B95="Gamma_Co","S003", B95="Beta_Supplies","S004", B95="Epsilon_Group","S005")</f>
        <v>S001</v>
      </c>
      <c r="N95" t="str" cm="1">
        <f t="array" ref="N95">_xlfn.IFS(E95="Electronics","P001", E95="MRO","P002", E95="Office Supplies","P003", E95="Packaging","P004", E95="Raw Materials","P005")</f>
        <v>P001</v>
      </c>
    </row>
    <row r="96" spans="1:14" x14ac:dyDescent="0.2">
      <c r="A96" s="1" t="s">
        <v>110</v>
      </c>
      <c r="B96" s="2" t="s">
        <v>12</v>
      </c>
      <c r="C96" s="3">
        <v>45217</v>
      </c>
      <c r="D96" s="3">
        <f>Table1[[#This Row],[Order_Date]]+14</f>
        <v>45231</v>
      </c>
      <c r="E96" s="2" t="s">
        <v>28</v>
      </c>
      <c r="F96" s="2" t="s">
        <v>3</v>
      </c>
      <c r="G96" s="2">
        <v>1895</v>
      </c>
      <c r="H96" s="2">
        <v>91.98</v>
      </c>
      <c r="I96" s="2">
        <v>86.27</v>
      </c>
      <c r="J96" s="2">
        <v>170</v>
      </c>
      <c r="K96" s="2" t="s">
        <v>4</v>
      </c>
      <c r="L96" s="2" t="str">
        <f t="shared" si="1"/>
        <v>Cancelled</v>
      </c>
      <c r="M96" t="str" cm="1">
        <f t="array" ref="M96">_xlfn.IFS(B96="Alpha_Inc","S001", B96="Delta_Logistics","S002", B96="Gamma_Co","S003", B96="Beta_Supplies","S004", B96="Epsilon_Group","S005")</f>
        <v>S004</v>
      </c>
      <c r="N96" t="str" cm="1">
        <f t="array" ref="N96">_xlfn.IFS(E96="Electronics","P001", E96="MRO","P002", E96="Office Supplies","P003", E96="Packaging","P004", E96="Raw Materials","P005")</f>
        <v>P001</v>
      </c>
    </row>
    <row r="97" spans="1:14" x14ac:dyDescent="0.2">
      <c r="A97" s="4" t="s">
        <v>111</v>
      </c>
      <c r="B97" s="5" t="s">
        <v>18</v>
      </c>
      <c r="C97" s="6">
        <v>45266</v>
      </c>
      <c r="D97" s="6">
        <v>45269</v>
      </c>
      <c r="E97" s="5" t="s">
        <v>10</v>
      </c>
      <c r="F97" s="5" t="s">
        <v>22</v>
      </c>
      <c r="G97" s="5">
        <v>1550</v>
      </c>
      <c r="H97" s="5">
        <v>79.86</v>
      </c>
      <c r="I97" s="5">
        <v>69.569999999999993</v>
      </c>
      <c r="J97" s="5">
        <v>32</v>
      </c>
      <c r="K97" s="5" t="s">
        <v>16</v>
      </c>
      <c r="L97" s="5" t="str">
        <f t="shared" si="1"/>
        <v>Partially Delivered</v>
      </c>
      <c r="M97" t="str" cm="1">
        <f t="array" ref="M97">_xlfn.IFS(B97="Alpha_Inc","S001", B97="Delta_Logistics","S002", B97="Gamma_Co","S003", B97="Beta_Supplies","S004", B97="Epsilon_Group","S005")</f>
        <v>S005</v>
      </c>
      <c r="N97" t="str" cm="1">
        <f t="array" ref="N97">_xlfn.IFS(E97="Electronics","P001", E97="MRO","P002", E97="Office Supplies","P003", E97="Packaging","P004", E97="Raw Materials","P005")</f>
        <v>P002</v>
      </c>
    </row>
    <row r="98" spans="1:14" x14ac:dyDescent="0.2">
      <c r="A98" s="1" t="s">
        <v>112</v>
      </c>
      <c r="B98" s="2" t="s">
        <v>6</v>
      </c>
      <c r="C98" s="3">
        <v>45132</v>
      </c>
      <c r="D98" s="3">
        <v>45142</v>
      </c>
      <c r="E98" s="2" t="s">
        <v>13</v>
      </c>
      <c r="F98" s="2" t="s">
        <v>7</v>
      </c>
      <c r="G98" s="2">
        <v>752</v>
      </c>
      <c r="H98" s="2">
        <v>26.85</v>
      </c>
      <c r="I98" s="2">
        <v>24.37</v>
      </c>
      <c r="J98" s="2">
        <v>0</v>
      </c>
      <c r="K98" s="2" t="s">
        <v>16</v>
      </c>
      <c r="L98" s="2" t="str">
        <f t="shared" si="1"/>
        <v>Delivered</v>
      </c>
      <c r="M98" t="str" cm="1">
        <f t="array" ref="M98">_xlfn.IFS(B98="Alpha_Inc","S001", B98="Delta_Logistics","S002", B98="Gamma_Co","S003", B98="Beta_Supplies","S004", B98="Epsilon_Group","S005")</f>
        <v>S002</v>
      </c>
      <c r="N98" t="str" cm="1">
        <f t="array" ref="N98">_xlfn.IFS(E98="Electronics","P001", E98="MRO","P002", E98="Office Supplies","P003", E98="Packaging","P004", E98="Raw Materials","P005")</f>
        <v>P004</v>
      </c>
    </row>
    <row r="99" spans="1:14" x14ac:dyDescent="0.2">
      <c r="A99" s="4" t="s">
        <v>113</v>
      </c>
      <c r="B99" s="5" t="s">
        <v>18</v>
      </c>
      <c r="C99" s="6">
        <v>44786</v>
      </c>
      <c r="D99" s="6">
        <v>44805</v>
      </c>
      <c r="E99" s="5" t="s">
        <v>28</v>
      </c>
      <c r="F99" s="5" t="s">
        <v>7</v>
      </c>
      <c r="G99" s="5">
        <v>451</v>
      </c>
      <c r="H99" s="5">
        <v>95.2</v>
      </c>
      <c r="I99" s="5">
        <v>90.07</v>
      </c>
      <c r="J99" s="5">
        <v>21</v>
      </c>
      <c r="K99" s="5" t="s">
        <v>4</v>
      </c>
      <c r="L99" s="5" t="str">
        <f t="shared" si="1"/>
        <v>Delivered</v>
      </c>
      <c r="M99" t="str" cm="1">
        <f t="array" ref="M99">_xlfn.IFS(B99="Alpha_Inc","S001", B99="Delta_Logistics","S002", B99="Gamma_Co","S003", B99="Beta_Supplies","S004", B99="Epsilon_Group","S005")</f>
        <v>S005</v>
      </c>
      <c r="N99" t="str" cm="1">
        <f t="array" ref="N99">_xlfn.IFS(E99="Electronics","P001", E99="MRO","P002", E99="Office Supplies","P003", E99="Packaging","P004", E99="Raw Materials","P005")</f>
        <v>P001</v>
      </c>
    </row>
    <row r="100" spans="1:14" x14ac:dyDescent="0.2">
      <c r="A100" s="1" t="s">
        <v>114</v>
      </c>
      <c r="B100" s="2" t="s">
        <v>12</v>
      </c>
      <c r="C100" s="3">
        <v>45263</v>
      </c>
      <c r="D100" s="3">
        <f>Table1[[#This Row],[Order_Date]]+14</f>
        <v>45277</v>
      </c>
      <c r="E100" s="2" t="s">
        <v>2</v>
      </c>
      <c r="F100" s="2" t="s">
        <v>7</v>
      </c>
      <c r="G100" s="2">
        <v>779</v>
      </c>
      <c r="H100" s="2">
        <v>93.69</v>
      </c>
      <c r="I100" s="2">
        <v>90.92</v>
      </c>
      <c r="J100" s="2">
        <v>66</v>
      </c>
      <c r="K100" s="2" t="s">
        <v>4</v>
      </c>
      <c r="L100" s="2" t="str">
        <f t="shared" si="1"/>
        <v>Delivered</v>
      </c>
      <c r="M100" t="str" cm="1">
        <f t="array" ref="M100">_xlfn.IFS(B100="Alpha_Inc","S001", B100="Delta_Logistics","S002", B100="Gamma_Co","S003", B100="Beta_Supplies","S004", B100="Epsilon_Group","S005")</f>
        <v>S004</v>
      </c>
      <c r="N100" t="str" cm="1">
        <f t="array" ref="N100">_xlfn.IFS(E100="Electronics","P001", E100="MRO","P002", E100="Office Supplies","P003", E100="Packaging","P004", E100="Raw Materials","P005")</f>
        <v>P003</v>
      </c>
    </row>
    <row r="101" spans="1:14" x14ac:dyDescent="0.2">
      <c r="A101" s="4" t="s">
        <v>115</v>
      </c>
      <c r="B101" s="5" t="s">
        <v>12</v>
      </c>
      <c r="C101" s="6">
        <v>44894</v>
      </c>
      <c r="D101" s="6">
        <v>44909</v>
      </c>
      <c r="E101" s="5" t="s">
        <v>10</v>
      </c>
      <c r="F101" s="5" t="s">
        <v>24</v>
      </c>
      <c r="G101" s="5">
        <v>1629</v>
      </c>
      <c r="H101" s="5">
        <v>100.26</v>
      </c>
      <c r="I101" s="5">
        <v>86.44</v>
      </c>
      <c r="J101" s="5">
        <v>187</v>
      </c>
      <c r="K101" s="5" t="s">
        <v>16</v>
      </c>
      <c r="L101" s="5" t="str">
        <f t="shared" si="1"/>
        <v>Pending</v>
      </c>
      <c r="M101" t="str" cm="1">
        <f t="array" ref="M101">_xlfn.IFS(B101="Alpha_Inc","S001", B101="Delta_Logistics","S002", B101="Gamma_Co","S003", B101="Beta_Supplies","S004", B101="Epsilon_Group","S005")</f>
        <v>S004</v>
      </c>
      <c r="N101" t="str" cm="1">
        <f t="array" ref="N101">_xlfn.IFS(E101="Electronics","P001", E101="MRO","P002", E101="Office Supplies","P003", E101="Packaging","P004", E101="Raw Materials","P005")</f>
        <v>P002</v>
      </c>
    </row>
    <row r="102" spans="1:14" x14ac:dyDescent="0.2">
      <c r="A102" s="1" t="s">
        <v>116</v>
      </c>
      <c r="B102" s="2" t="s">
        <v>1</v>
      </c>
      <c r="C102" s="3">
        <v>44619</v>
      </c>
      <c r="D102" s="3">
        <v>44614</v>
      </c>
      <c r="E102" s="2" t="s">
        <v>2</v>
      </c>
      <c r="F102" s="2" t="s">
        <v>7</v>
      </c>
      <c r="G102" s="2">
        <v>211</v>
      </c>
      <c r="H102" s="2">
        <v>75.69</v>
      </c>
      <c r="I102" s="2">
        <v>65.400000000000006</v>
      </c>
      <c r="J102" s="2">
        <v>2</v>
      </c>
      <c r="K102" s="2" t="s">
        <v>4</v>
      </c>
      <c r="L102" s="2" t="str">
        <f t="shared" si="1"/>
        <v>Delivered</v>
      </c>
      <c r="M102" t="str" cm="1">
        <f t="array" ref="M102">_xlfn.IFS(B102="Alpha_Inc","S001", B102="Delta_Logistics","S002", B102="Gamma_Co","S003", B102="Beta_Supplies","S004", B102="Epsilon_Group","S005")</f>
        <v>S001</v>
      </c>
      <c r="N102" t="str" cm="1">
        <f t="array" ref="N102">_xlfn.IFS(E102="Electronics","P001", E102="MRO","P002", E102="Office Supplies","P003", E102="Packaging","P004", E102="Raw Materials","P005")</f>
        <v>P003</v>
      </c>
    </row>
    <row r="103" spans="1:14" x14ac:dyDescent="0.2">
      <c r="A103" s="4" t="s">
        <v>117</v>
      </c>
      <c r="B103" s="5" t="s">
        <v>1</v>
      </c>
      <c r="C103" s="6">
        <v>44796</v>
      </c>
      <c r="D103" s="6">
        <f>Table1[[#This Row],[Order_Date]]+14</f>
        <v>44810</v>
      </c>
      <c r="E103" s="5" t="s">
        <v>2</v>
      </c>
      <c r="F103" s="5" t="s">
        <v>7</v>
      </c>
      <c r="G103" s="5">
        <v>251</v>
      </c>
      <c r="H103" s="5">
        <v>67.489999999999995</v>
      </c>
      <c r="I103" s="5">
        <v>64.48</v>
      </c>
      <c r="J103" s="5">
        <v>2</v>
      </c>
      <c r="K103" s="5" t="s">
        <v>4</v>
      </c>
      <c r="L103" s="5" t="str">
        <f t="shared" si="1"/>
        <v>Delivered</v>
      </c>
      <c r="M103" t="str" cm="1">
        <f t="array" ref="M103">_xlfn.IFS(B103="Alpha_Inc","S001", B103="Delta_Logistics","S002", B103="Gamma_Co","S003", B103="Beta_Supplies","S004", B103="Epsilon_Group","S005")</f>
        <v>S001</v>
      </c>
      <c r="N103" t="str" cm="1">
        <f t="array" ref="N103">_xlfn.IFS(E103="Electronics","P001", E103="MRO","P002", E103="Office Supplies","P003", E103="Packaging","P004", E103="Raw Materials","P005")</f>
        <v>P003</v>
      </c>
    </row>
    <row r="104" spans="1:14" x14ac:dyDescent="0.2">
      <c r="A104" s="1" t="s">
        <v>118</v>
      </c>
      <c r="B104" s="2" t="s">
        <v>9</v>
      </c>
      <c r="C104" s="3">
        <v>44594</v>
      </c>
      <c r="D104" s="3">
        <v>44610</v>
      </c>
      <c r="E104" s="2" t="s">
        <v>15</v>
      </c>
      <c r="F104" s="2" t="s">
        <v>7</v>
      </c>
      <c r="G104" s="2">
        <v>1045</v>
      </c>
      <c r="H104" s="2">
        <v>47.88</v>
      </c>
      <c r="I104" s="2">
        <v>44.65</v>
      </c>
      <c r="J104" s="2">
        <v>69</v>
      </c>
      <c r="K104" s="2" t="s">
        <v>4</v>
      </c>
      <c r="L104" s="2" t="str">
        <f t="shared" si="1"/>
        <v>Delivered</v>
      </c>
      <c r="M104" t="str" cm="1">
        <f t="array" ref="M104">_xlfn.IFS(B104="Alpha_Inc","S001", B104="Delta_Logistics","S002", B104="Gamma_Co","S003", B104="Beta_Supplies","S004", B104="Epsilon_Group","S005")</f>
        <v>S003</v>
      </c>
      <c r="N104" t="str" cm="1">
        <f t="array" ref="N104">_xlfn.IFS(E104="Electronics","P001", E104="MRO","P002", E104="Office Supplies","P003", E104="Packaging","P004", E104="Raw Materials","P005")</f>
        <v>P005</v>
      </c>
    </row>
    <row r="105" spans="1:14" x14ac:dyDescent="0.2">
      <c r="A105" s="4" t="s">
        <v>119</v>
      </c>
      <c r="B105" s="5" t="s">
        <v>6</v>
      </c>
      <c r="C105" s="6">
        <v>44885</v>
      </c>
      <c r="D105" s="6">
        <v>44905</v>
      </c>
      <c r="E105" s="5" t="s">
        <v>10</v>
      </c>
      <c r="F105" s="5" t="s">
        <v>7</v>
      </c>
      <c r="G105" s="5">
        <v>319</v>
      </c>
      <c r="H105" s="5">
        <v>98.64</v>
      </c>
      <c r="I105" s="5">
        <v>89.15</v>
      </c>
      <c r="J105" s="5">
        <v>57</v>
      </c>
      <c r="K105" s="5" t="s">
        <v>4</v>
      </c>
      <c r="L105" s="5" t="str">
        <f t="shared" si="1"/>
        <v>Delivered</v>
      </c>
      <c r="M105" t="str" cm="1">
        <f t="array" ref="M105">_xlfn.IFS(B105="Alpha_Inc","S001", B105="Delta_Logistics","S002", B105="Gamma_Co","S003", B105="Beta_Supplies","S004", B105="Epsilon_Group","S005")</f>
        <v>S002</v>
      </c>
      <c r="N105" t="str" cm="1">
        <f t="array" ref="N105">_xlfn.IFS(E105="Electronics","P001", E105="MRO","P002", E105="Office Supplies","P003", E105="Packaging","P004", E105="Raw Materials","P005")</f>
        <v>P002</v>
      </c>
    </row>
    <row r="106" spans="1:14" x14ac:dyDescent="0.2">
      <c r="A106" s="1" t="s">
        <v>120</v>
      </c>
      <c r="B106" s="2" t="s">
        <v>18</v>
      </c>
      <c r="C106" s="3">
        <v>44972</v>
      </c>
      <c r="D106" s="3">
        <v>44986</v>
      </c>
      <c r="E106" s="2" t="s">
        <v>2</v>
      </c>
      <c r="F106" s="2" t="s">
        <v>22</v>
      </c>
      <c r="G106" s="2">
        <v>1936</v>
      </c>
      <c r="H106" s="2">
        <v>93.66</v>
      </c>
      <c r="I106" s="2">
        <v>92.24</v>
      </c>
      <c r="J106" s="2">
        <v>58</v>
      </c>
      <c r="K106" s="2" t="s">
        <v>4</v>
      </c>
      <c r="L106" s="2" t="str">
        <f t="shared" si="1"/>
        <v>Partially Delivered</v>
      </c>
      <c r="M106" t="str" cm="1">
        <f t="array" ref="M106">_xlfn.IFS(B106="Alpha_Inc","S001", B106="Delta_Logistics","S002", B106="Gamma_Co","S003", B106="Beta_Supplies","S004", B106="Epsilon_Group","S005")</f>
        <v>S005</v>
      </c>
      <c r="N106" t="str" cm="1">
        <f t="array" ref="N106">_xlfn.IFS(E106="Electronics","P001", E106="MRO","P002", E106="Office Supplies","P003", E106="Packaging","P004", E106="Raw Materials","P005")</f>
        <v>P003</v>
      </c>
    </row>
    <row r="107" spans="1:14" x14ac:dyDescent="0.2">
      <c r="A107" s="4" t="s">
        <v>121</v>
      </c>
      <c r="B107" s="5" t="s">
        <v>6</v>
      </c>
      <c r="C107" s="6">
        <v>44836</v>
      </c>
      <c r="D107" s="6">
        <v>44856</v>
      </c>
      <c r="E107" s="5" t="s">
        <v>10</v>
      </c>
      <c r="F107" s="5" t="s">
        <v>3</v>
      </c>
      <c r="G107" s="5">
        <v>865</v>
      </c>
      <c r="H107" s="5">
        <v>14.7</v>
      </c>
      <c r="I107" s="5">
        <v>13.14</v>
      </c>
      <c r="J107" s="5">
        <v>135</v>
      </c>
      <c r="K107" s="5" t="s">
        <v>16</v>
      </c>
      <c r="L107" s="5" t="str">
        <f t="shared" si="1"/>
        <v>Cancelled</v>
      </c>
      <c r="M107" t="str" cm="1">
        <f t="array" ref="M107">_xlfn.IFS(B107="Alpha_Inc","S001", B107="Delta_Logistics","S002", B107="Gamma_Co","S003", B107="Beta_Supplies","S004", B107="Epsilon_Group","S005")</f>
        <v>S002</v>
      </c>
      <c r="N107" t="str" cm="1">
        <f t="array" ref="N107">_xlfn.IFS(E107="Electronics","P001", E107="MRO","P002", E107="Office Supplies","P003", E107="Packaging","P004", E107="Raw Materials","P005")</f>
        <v>P002</v>
      </c>
    </row>
    <row r="108" spans="1:14" x14ac:dyDescent="0.2">
      <c r="A108" s="1" t="s">
        <v>122</v>
      </c>
      <c r="B108" s="2" t="s">
        <v>18</v>
      </c>
      <c r="C108" s="3">
        <v>44629</v>
      </c>
      <c r="D108" s="3">
        <v>44632</v>
      </c>
      <c r="E108" s="2" t="s">
        <v>28</v>
      </c>
      <c r="F108" s="2" t="s">
        <v>7</v>
      </c>
      <c r="G108" s="2">
        <v>1344</v>
      </c>
      <c r="H108" s="2">
        <v>12.5</v>
      </c>
      <c r="I108" s="2">
        <v>10.87</v>
      </c>
      <c r="J108" s="2">
        <v>44</v>
      </c>
      <c r="K108" s="2" t="s">
        <v>4</v>
      </c>
      <c r="L108" s="2" t="str">
        <f t="shared" si="1"/>
        <v>Delivered</v>
      </c>
      <c r="M108" t="str" cm="1">
        <f t="array" ref="M108">_xlfn.IFS(B108="Alpha_Inc","S001", B108="Delta_Logistics","S002", B108="Gamma_Co","S003", B108="Beta_Supplies","S004", B108="Epsilon_Group","S005")</f>
        <v>S005</v>
      </c>
      <c r="N108" t="str" cm="1">
        <f t="array" ref="N108">_xlfn.IFS(E108="Electronics","P001", E108="MRO","P002", E108="Office Supplies","P003", E108="Packaging","P004", E108="Raw Materials","P005")</f>
        <v>P001</v>
      </c>
    </row>
    <row r="109" spans="1:14" x14ac:dyDescent="0.2">
      <c r="A109" s="4" t="s">
        <v>123</v>
      </c>
      <c r="B109" s="5" t="s">
        <v>6</v>
      </c>
      <c r="C109" s="6">
        <v>44778</v>
      </c>
      <c r="D109" s="6">
        <v>44797</v>
      </c>
      <c r="E109" s="5" t="s">
        <v>15</v>
      </c>
      <c r="F109" s="5" t="s">
        <v>24</v>
      </c>
      <c r="G109" s="5">
        <v>505</v>
      </c>
      <c r="H109" s="5">
        <v>45.42</v>
      </c>
      <c r="I109" s="5">
        <v>40.369999999999997</v>
      </c>
      <c r="J109" s="5">
        <v>62</v>
      </c>
      <c r="K109" s="5" t="s">
        <v>4</v>
      </c>
      <c r="L109" s="5" t="str">
        <f t="shared" si="1"/>
        <v>Pending</v>
      </c>
      <c r="M109" t="str" cm="1">
        <f t="array" ref="M109">_xlfn.IFS(B109="Alpha_Inc","S001", B109="Delta_Logistics","S002", B109="Gamma_Co","S003", B109="Beta_Supplies","S004", B109="Epsilon_Group","S005")</f>
        <v>S002</v>
      </c>
      <c r="N109" t="str" cm="1">
        <f t="array" ref="N109">_xlfn.IFS(E109="Electronics","P001", E109="MRO","P002", E109="Office Supplies","P003", E109="Packaging","P004", E109="Raw Materials","P005")</f>
        <v>P005</v>
      </c>
    </row>
    <row r="110" spans="1:14" x14ac:dyDescent="0.2">
      <c r="A110" s="1" t="s">
        <v>124</v>
      </c>
      <c r="B110" s="2" t="s">
        <v>12</v>
      </c>
      <c r="C110" s="3">
        <v>45142</v>
      </c>
      <c r="D110" s="3">
        <v>45143</v>
      </c>
      <c r="E110" s="2" t="s">
        <v>13</v>
      </c>
      <c r="F110" s="2" t="s">
        <v>7</v>
      </c>
      <c r="G110" s="2">
        <v>1535</v>
      </c>
      <c r="H110" s="2">
        <v>90.83</v>
      </c>
      <c r="I110" s="2">
        <v>78.28</v>
      </c>
      <c r="J110" s="2">
        <v>151</v>
      </c>
      <c r="K110" s="2" t="s">
        <v>16</v>
      </c>
      <c r="L110" s="2" t="str">
        <f t="shared" si="1"/>
        <v>Delivered</v>
      </c>
      <c r="M110" t="str" cm="1">
        <f t="array" ref="M110">_xlfn.IFS(B110="Alpha_Inc","S001", B110="Delta_Logistics","S002", B110="Gamma_Co","S003", B110="Beta_Supplies","S004", B110="Epsilon_Group","S005")</f>
        <v>S004</v>
      </c>
      <c r="N110" t="str" cm="1">
        <f t="array" ref="N110">_xlfn.IFS(E110="Electronics","P001", E110="MRO","P002", E110="Office Supplies","P003", E110="Packaging","P004", E110="Raw Materials","P005")</f>
        <v>P004</v>
      </c>
    </row>
    <row r="111" spans="1:14" x14ac:dyDescent="0.2">
      <c r="A111" s="4" t="s">
        <v>125</v>
      </c>
      <c r="B111" s="5" t="s">
        <v>12</v>
      </c>
      <c r="C111" s="6">
        <v>44884</v>
      </c>
      <c r="D111" s="6">
        <f>Table1[[#This Row],[Order_Date]]+14</f>
        <v>44898</v>
      </c>
      <c r="E111" s="5" t="s">
        <v>2</v>
      </c>
      <c r="F111" s="5" t="s">
        <v>7</v>
      </c>
      <c r="G111" s="5">
        <v>1800</v>
      </c>
      <c r="H111" s="5">
        <v>103.8</v>
      </c>
      <c r="I111" s="5">
        <v>96.27</v>
      </c>
      <c r="J111" s="5">
        <v>166</v>
      </c>
      <c r="K111" s="5" t="s">
        <v>4</v>
      </c>
      <c r="L111" s="5" t="str">
        <f t="shared" si="1"/>
        <v>Delivered</v>
      </c>
      <c r="M111" t="str" cm="1">
        <f t="array" ref="M111">_xlfn.IFS(B111="Alpha_Inc","S001", B111="Delta_Logistics","S002", B111="Gamma_Co","S003", B111="Beta_Supplies","S004", B111="Epsilon_Group","S005")</f>
        <v>S004</v>
      </c>
      <c r="N111" t="str" cm="1">
        <f t="array" ref="N111">_xlfn.IFS(E111="Electronics","P001", E111="MRO","P002", E111="Office Supplies","P003", E111="Packaging","P004", E111="Raw Materials","P005")</f>
        <v>P003</v>
      </c>
    </row>
    <row r="112" spans="1:14" x14ac:dyDescent="0.2">
      <c r="A112" s="1" t="s">
        <v>126</v>
      </c>
      <c r="B112" s="2" t="s">
        <v>6</v>
      </c>
      <c r="C112" s="3">
        <v>44779</v>
      </c>
      <c r="D112" s="3">
        <v>44788</v>
      </c>
      <c r="E112" s="2" t="s">
        <v>15</v>
      </c>
      <c r="F112" s="2" t="s">
        <v>24</v>
      </c>
      <c r="G112" s="2">
        <v>1325</v>
      </c>
      <c r="H112" s="2">
        <v>24.36</v>
      </c>
      <c r="I112" s="2">
        <v>22.75</v>
      </c>
      <c r="J112" s="2">
        <v>206</v>
      </c>
      <c r="K112" s="2" t="s">
        <v>4</v>
      </c>
      <c r="L112" s="2" t="str">
        <f t="shared" si="1"/>
        <v>Pending</v>
      </c>
      <c r="M112" t="str" cm="1">
        <f t="array" ref="M112">_xlfn.IFS(B112="Alpha_Inc","S001", B112="Delta_Logistics","S002", B112="Gamma_Co","S003", B112="Beta_Supplies","S004", B112="Epsilon_Group","S005")</f>
        <v>S002</v>
      </c>
      <c r="N112" t="str" cm="1">
        <f t="array" ref="N112">_xlfn.IFS(E112="Electronics","P001", E112="MRO","P002", E112="Office Supplies","P003", E112="Packaging","P004", E112="Raw Materials","P005")</f>
        <v>P005</v>
      </c>
    </row>
    <row r="113" spans="1:14" x14ac:dyDescent="0.2">
      <c r="A113" s="4" t="s">
        <v>127</v>
      </c>
      <c r="B113" s="5" t="s">
        <v>9</v>
      </c>
      <c r="C113" s="6">
        <v>45233</v>
      </c>
      <c r="D113" s="6">
        <v>45239</v>
      </c>
      <c r="E113" s="5" t="s">
        <v>15</v>
      </c>
      <c r="F113" s="5" t="s">
        <v>7</v>
      </c>
      <c r="G113" s="5">
        <v>1066</v>
      </c>
      <c r="H113" s="5">
        <v>70.45</v>
      </c>
      <c r="I113" s="5">
        <v>65.88</v>
      </c>
      <c r="J113" s="5">
        <v>56</v>
      </c>
      <c r="K113" s="5" t="s">
        <v>16</v>
      </c>
      <c r="L113" s="5" t="str">
        <f t="shared" si="1"/>
        <v>Delivered</v>
      </c>
      <c r="M113" t="str" cm="1">
        <f t="array" ref="M113">_xlfn.IFS(B113="Alpha_Inc","S001", B113="Delta_Logistics","S002", B113="Gamma_Co","S003", B113="Beta_Supplies","S004", B113="Epsilon_Group","S005")</f>
        <v>S003</v>
      </c>
      <c r="N113" t="str" cm="1">
        <f t="array" ref="N113">_xlfn.IFS(E113="Electronics","P001", E113="MRO","P002", E113="Office Supplies","P003", E113="Packaging","P004", E113="Raw Materials","P005")</f>
        <v>P005</v>
      </c>
    </row>
    <row r="114" spans="1:14" x14ac:dyDescent="0.2">
      <c r="A114" s="1" t="s">
        <v>128</v>
      </c>
      <c r="B114" s="2" t="s">
        <v>12</v>
      </c>
      <c r="C114" s="3">
        <v>45073</v>
      </c>
      <c r="D114" s="3">
        <v>45088</v>
      </c>
      <c r="E114" s="2" t="s">
        <v>15</v>
      </c>
      <c r="F114" s="2" t="s">
        <v>7</v>
      </c>
      <c r="G114" s="2">
        <v>1775</v>
      </c>
      <c r="H114" s="2">
        <v>47.82</v>
      </c>
      <c r="I114" s="2">
        <v>45.86</v>
      </c>
      <c r="J114" s="2">
        <v>180</v>
      </c>
      <c r="K114" s="2" t="s">
        <v>4</v>
      </c>
      <c r="L114" s="2" t="str">
        <f t="shared" si="1"/>
        <v>Delivered</v>
      </c>
      <c r="M114" t="str" cm="1">
        <f t="array" ref="M114">_xlfn.IFS(B114="Alpha_Inc","S001", B114="Delta_Logistics","S002", B114="Gamma_Co","S003", B114="Beta_Supplies","S004", B114="Epsilon_Group","S005")</f>
        <v>S004</v>
      </c>
      <c r="N114" t="str" cm="1">
        <f t="array" ref="N114">_xlfn.IFS(E114="Electronics","P001", E114="MRO","P002", E114="Office Supplies","P003", E114="Packaging","P004", E114="Raw Materials","P005")</f>
        <v>P005</v>
      </c>
    </row>
    <row r="115" spans="1:14" x14ac:dyDescent="0.2">
      <c r="A115" s="4" t="s">
        <v>129</v>
      </c>
      <c r="B115" s="5" t="s">
        <v>9</v>
      </c>
      <c r="C115" s="6">
        <v>44967</v>
      </c>
      <c r="D115" s="6">
        <f>Table1[[#This Row],[Order_Date]]+14</f>
        <v>44981</v>
      </c>
      <c r="E115" s="5" t="s">
        <v>15</v>
      </c>
      <c r="F115" s="5" t="s">
        <v>22</v>
      </c>
      <c r="G115" s="5">
        <v>345</v>
      </c>
      <c r="H115" s="5">
        <v>103.62</v>
      </c>
      <c r="I115" s="5">
        <v>98.09</v>
      </c>
      <c r="J115" s="5">
        <v>25</v>
      </c>
      <c r="K115" s="5" t="s">
        <v>16</v>
      </c>
      <c r="L115" s="5" t="str">
        <f t="shared" si="1"/>
        <v>Partially Delivered</v>
      </c>
      <c r="M115" t="str" cm="1">
        <f t="array" ref="M115">_xlfn.IFS(B115="Alpha_Inc","S001", B115="Delta_Logistics","S002", B115="Gamma_Co","S003", B115="Beta_Supplies","S004", B115="Epsilon_Group","S005")</f>
        <v>S003</v>
      </c>
      <c r="N115" t="str" cm="1">
        <f t="array" ref="N115">_xlfn.IFS(E115="Electronics","P001", E115="MRO","P002", E115="Office Supplies","P003", E115="Packaging","P004", E115="Raw Materials","P005")</f>
        <v>P005</v>
      </c>
    </row>
    <row r="116" spans="1:14" x14ac:dyDescent="0.2">
      <c r="A116" s="1" t="s">
        <v>130</v>
      </c>
      <c r="B116" s="2" t="s">
        <v>12</v>
      </c>
      <c r="C116" s="3">
        <v>45220</v>
      </c>
      <c r="D116" s="3">
        <v>45239</v>
      </c>
      <c r="E116" s="2" t="s">
        <v>28</v>
      </c>
      <c r="F116" s="2" t="s">
        <v>7</v>
      </c>
      <c r="G116" s="2">
        <v>1798</v>
      </c>
      <c r="H116" s="2">
        <v>94.8</v>
      </c>
      <c r="I116" s="2">
        <v>91.83</v>
      </c>
      <c r="J116" s="2">
        <v>0</v>
      </c>
      <c r="K116" s="2" t="s">
        <v>4</v>
      </c>
      <c r="L116" s="2" t="str">
        <f t="shared" si="1"/>
        <v>Delivered</v>
      </c>
      <c r="M116" t="str" cm="1">
        <f t="array" ref="M116">_xlfn.IFS(B116="Alpha_Inc","S001", B116="Delta_Logistics","S002", B116="Gamma_Co","S003", B116="Beta_Supplies","S004", B116="Epsilon_Group","S005")</f>
        <v>S004</v>
      </c>
      <c r="N116" t="str" cm="1">
        <f t="array" ref="N116">_xlfn.IFS(E116="Electronics","P001", E116="MRO","P002", E116="Office Supplies","P003", E116="Packaging","P004", E116="Raw Materials","P005")</f>
        <v>P001</v>
      </c>
    </row>
    <row r="117" spans="1:14" x14ac:dyDescent="0.2">
      <c r="A117" s="4" t="s">
        <v>131</v>
      </c>
      <c r="B117" s="5" t="s">
        <v>1</v>
      </c>
      <c r="C117" s="6">
        <v>45031</v>
      </c>
      <c r="D117" s="6">
        <v>45047</v>
      </c>
      <c r="E117" s="5" t="s">
        <v>10</v>
      </c>
      <c r="F117" s="5" t="s">
        <v>7</v>
      </c>
      <c r="G117" s="5">
        <v>769</v>
      </c>
      <c r="H117" s="5">
        <v>91.86</v>
      </c>
      <c r="I117" s="5">
        <v>86.55</v>
      </c>
      <c r="J117" s="5">
        <v>17</v>
      </c>
      <c r="K117" s="5" t="s">
        <v>4</v>
      </c>
      <c r="L117" s="5" t="str">
        <f t="shared" si="1"/>
        <v>Delivered</v>
      </c>
      <c r="M117" t="str" cm="1">
        <f t="array" ref="M117">_xlfn.IFS(B117="Alpha_Inc","S001", B117="Delta_Logistics","S002", B117="Gamma_Co","S003", B117="Beta_Supplies","S004", B117="Epsilon_Group","S005")</f>
        <v>S001</v>
      </c>
      <c r="N117" t="str" cm="1">
        <f t="array" ref="N117">_xlfn.IFS(E117="Electronics","P001", E117="MRO","P002", E117="Office Supplies","P003", E117="Packaging","P004", E117="Raw Materials","P005")</f>
        <v>P002</v>
      </c>
    </row>
    <row r="118" spans="1:14" x14ac:dyDescent="0.2">
      <c r="A118" s="1" t="s">
        <v>132</v>
      </c>
      <c r="B118" s="2" t="s">
        <v>1</v>
      </c>
      <c r="C118" s="3">
        <v>44708</v>
      </c>
      <c r="D118" s="3">
        <f>Table1[[#This Row],[Order_Date]]+14</f>
        <v>44722</v>
      </c>
      <c r="E118" s="2" t="s">
        <v>13</v>
      </c>
      <c r="F118" s="2" t="s">
        <v>7</v>
      </c>
      <c r="G118" s="2">
        <v>1822</v>
      </c>
      <c r="H118" s="2">
        <v>53.23</v>
      </c>
      <c r="I118" s="2">
        <v>47.49</v>
      </c>
      <c r="J118" s="2">
        <v>39</v>
      </c>
      <c r="K118" s="2" t="s">
        <v>4</v>
      </c>
      <c r="L118" s="2" t="str">
        <f t="shared" si="1"/>
        <v>Delivered</v>
      </c>
      <c r="M118" t="str" cm="1">
        <f t="array" ref="M118">_xlfn.IFS(B118="Alpha_Inc","S001", B118="Delta_Logistics","S002", B118="Gamma_Co","S003", B118="Beta_Supplies","S004", B118="Epsilon_Group","S005")</f>
        <v>S001</v>
      </c>
      <c r="N118" t="str" cm="1">
        <f t="array" ref="N118">_xlfn.IFS(E118="Electronics","P001", E118="MRO","P002", E118="Office Supplies","P003", E118="Packaging","P004", E118="Raw Materials","P005")</f>
        <v>P004</v>
      </c>
    </row>
    <row r="119" spans="1:14" x14ac:dyDescent="0.2">
      <c r="A119" s="4" t="s">
        <v>133</v>
      </c>
      <c r="B119" s="5" t="s">
        <v>6</v>
      </c>
      <c r="C119" s="6">
        <v>44833</v>
      </c>
      <c r="D119" s="6">
        <v>44847</v>
      </c>
      <c r="E119" s="5" t="s">
        <v>13</v>
      </c>
      <c r="F119" s="5" t="s">
        <v>7</v>
      </c>
      <c r="G119" s="5">
        <v>387</v>
      </c>
      <c r="H119" s="5">
        <v>49.23</v>
      </c>
      <c r="I119" s="5">
        <v>45.41</v>
      </c>
      <c r="J119" s="5">
        <v>61</v>
      </c>
      <c r="K119" s="5" t="s">
        <v>4</v>
      </c>
      <c r="L119" s="5" t="str">
        <f t="shared" si="1"/>
        <v>Delivered</v>
      </c>
      <c r="M119" t="str" cm="1">
        <f t="array" ref="M119">_xlfn.IFS(B119="Alpha_Inc","S001", B119="Delta_Logistics","S002", B119="Gamma_Co","S003", B119="Beta_Supplies","S004", B119="Epsilon_Group","S005")</f>
        <v>S002</v>
      </c>
      <c r="N119" t="str" cm="1">
        <f t="array" ref="N119">_xlfn.IFS(E119="Electronics","P001", E119="MRO","P002", E119="Office Supplies","P003", E119="Packaging","P004", E119="Raw Materials","P005")</f>
        <v>P004</v>
      </c>
    </row>
    <row r="120" spans="1:14" x14ac:dyDescent="0.2">
      <c r="A120" s="1" t="s">
        <v>134</v>
      </c>
      <c r="B120" s="2" t="s">
        <v>18</v>
      </c>
      <c r="C120" s="3">
        <v>44704</v>
      </c>
      <c r="D120" s="3">
        <v>44708</v>
      </c>
      <c r="E120" s="2" t="s">
        <v>10</v>
      </c>
      <c r="F120" s="2" t="s">
        <v>7</v>
      </c>
      <c r="G120" s="2">
        <v>928</v>
      </c>
      <c r="H120" s="2">
        <v>35.299999999999997</v>
      </c>
      <c r="I120" s="2">
        <v>32.520000000000003</v>
      </c>
      <c r="J120" s="2">
        <v>26</v>
      </c>
      <c r="K120" s="2" t="s">
        <v>4</v>
      </c>
      <c r="L120" s="2" t="str">
        <f t="shared" si="1"/>
        <v>Delivered</v>
      </c>
      <c r="M120" t="str" cm="1">
        <f t="array" ref="M120">_xlfn.IFS(B120="Alpha_Inc","S001", B120="Delta_Logistics","S002", B120="Gamma_Co","S003", B120="Beta_Supplies","S004", B120="Epsilon_Group","S005")</f>
        <v>S005</v>
      </c>
      <c r="N120" t="str" cm="1">
        <f t="array" ref="N120">_xlfn.IFS(E120="Electronics","P001", E120="MRO","P002", E120="Office Supplies","P003", E120="Packaging","P004", E120="Raw Materials","P005")</f>
        <v>P002</v>
      </c>
    </row>
    <row r="121" spans="1:14" x14ac:dyDescent="0.2">
      <c r="A121" s="4" t="s">
        <v>135</v>
      </c>
      <c r="B121" s="5" t="s">
        <v>1</v>
      </c>
      <c r="C121" s="6">
        <v>44814</v>
      </c>
      <c r="D121" s="6">
        <v>44825</v>
      </c>
      <c r="E121" s="5" t="s">
        <v>13</v>
      </c>
      <c r="F121" s="5" t="s">
        <v>22</v>
      </c>
      <c r="G121" s="5">
        <v>1126</v>
      </c>
      <c r="H121" s="5">
        <v>15.68</v>
      </c>
      <c r="I121" s="5">
        <v>14.97</v>
      </c>
      <c r="J121" s="5">
        <v>27</v>
      </c>
      <c r="K121" s="5" t="s">
        <v>4</v>
      </c>
      <c r="L121" s="5" t="str">
        <f t="shared" si="1"/>
        <v>Partially Delivered</v>
      </c>
      <c r="M121" t="str" cm="1">
        <f t="array" ref="M121">_xlfn.IFS(B121="Alpha_Inc","S001", B121="Delta_Logistics","S002", B121="Gamma_Co","S003", B121="Beta_Supplies","S004", B121="Epsilon_Group","S005")</f>
        <v>S001</v>
      </c>
      <c r="N121" t="str" cm="1">
        <f t="array" ref="N121">_xlfn.IFS(E121="Electronics","P001", E121="MRO","P002", E121="Office Supplies","P003", E121="Packaging","P004", E121="Raw Materials","P005")</f>
        <v>P004</v>
      </c>
    </row>
    <row r="122" spans="1:14" x14ac:dyDescent="0.2">
      <c r="A122" s="1" t="s">
        <v>136</v>
      </c>
      <c r="B122" s="2" t="s">
        <v>12</v>
      </c>
      <c r="C122" s="3">
        <v>45136</v>
      </c>
      <c r="D122" s="3">
        <v>45152</v>
      </c>
      <c r="E122" s="2" t="s">
        <v>15</v>
      </c>
      <c r="F122" s="2" t="s">
        <v>3</v>
      </c>
      <c r="G122" s="2">
        <v>841</v>
      </c>
      <c r="H122" s="2">
        <v>95.73</v>
      </c>
      <c r="I122" s="2">
        <v>85.33</v>
      </c>
      <c r="J122" s="2">
        <v>81</v>
      </c>
      <c r="K122" s="2" t="s">
        <v>4</v>
      </c>
      <c r="L122" s="2" t="str">
        <f t="shared" si="1"/>
        <v>Cancelled</v>
      </c>
      <c r="M122" t="str" cm="1">
        <f t="array" ref="M122">_xlfn.IFS(B122="Alpha_Inc","S001", B122="Delta_Logistics","S002", B122="Gamma_Co","S003", B122="Beta_Supplies","S004", B122="Epsilon_Group","S005")</f>
        <v>S004</v>
      </c>
      <c r="N122" t="str" cm="1">
        <f t="array" ref="N122">_xlfn.IFS(E122="Electronics","P001", E122="MRO","P002", E122="Office Supplies","P003", E122="Packaging","P004", E122="Raw Materials","P005")</f>
        <v>P005</v>
      </c>
    </row>
    <row r="123" spans="1:14" x14ac:dyDescent="0.2">
      <c r="A123" s="4" t="s">
        <v>137</v>
      </c>
      <c r="B123" s="5" t="s">
        <v>12</v>
      </c>
      <c r="C123" s="6">
        <v>45113</v>
      </c>
      <c r="D123" s="6">
        <v>45126</v>
      </c>
      <c r="E123" s="5" t="s">
        <v>28</v>
      </c>
      <c r="F123" s="5" t="s">
        <v>7</v>
      </c>
      <c r="G123" s="5">
        <v>1995</v>
      </c>
      <c r="H123" s="5">
        <v>90.65</v>
      </c>
      <c r="I123" s="5">
        <v>77.75</v>
      </c>
      <c r="J123" s="5">
        <v>206</v>
      </c>
      <c r="K123" s="5" t="s">
        <v>4</v>
      </c>
      <c r="L123" s="5" t="str">
        <f t="shared" si="1"/>
        <v>Delivered</v>
      </c>
      <c r="M123" t="str" cm="1">
        <f t="array" ref="M123">_xlfn.IFS(B123="Alpha_Inc","S001", B123="Delta_Logistics","S002", B123="Gamma_Co","S003", B123="Beta_Supplies","S004", B123="Epsilon_Group","S005")</f>
        <v>S004</v>
      </c>
      <c r="N123" t="str" cm="1">
        <f t="array" ref="N123">_xlfn.IFS(E123="Electronics","P001", E123="MRO","P002", E123="Office Supplies","P003", E123="Packaging","P004", E123="Raw Materials","P005")</f>
        <v>P001</v>
      </c>
    </row>
    <row r="124" spans="1:14" x14ac:dyDescent="0.2">
      <c r="A124" s="1" t="s">
        <v>138</v>
      </c>
      <c r="B124" s="2" t="s">
        <v>1</v>
      </c>
      <c r="C124" s="3">
        <v>44831</v>
      </c>
      <c r="D124" s="3">
        <v>44849</v>
      </c>
      <c r="E124" s="2" t="s">
        <v>15</v>
      </c>
      <c r="F124" s="2" t="s">
        <v>7</v>
      </c>
      <c r="G124" s="2">
        <v>266</v>
      </c>
      <c r="H124" s="2">
        <v>103.97</v>
      </c>
      <c r="I124" s="2">
        <v>101.44</v>
      </c>
      <c r="J124" s="2">
        <v>6</v>
      </c>
      <c r="K124" s="2" t="s">
        <v>4</v>
      </c>
      <c r="L124" s="2" t="str">
        <f t="shared" si="1"/>
        <v>Delivered</v>
      </c>
      <c r="M124" t="str" cm="1">
        <f t="array" ref="M124">_xlfn.IFS(B124="Alpha_Inc","S001", B124="Delta_Logistics","S002", B124="Gamma_Co","S003", B124="Beta_Supplies","S004", B124="Epsilon_Group","S005")</f>
        <v>S001</v>
      </c>
      <c r="N124" t="str" cm="1">
        <f t="array" ref="N124">_xlfn.IFS(E124="Electronics","P001", E124="MRO","P002", E124="Office Supplies","P003", E124="Packaging","P004", E124="Raw Materials","P005")</f>
        <v>P005</v>
      </c>
    </row>
    <row r="125" spans="1:14" x14ac:dyDescent="0.2">
      <c r="A125" s="4" t="s">
        <v>139</v>
      </c>
      <c r="B125" s="5" t="s">
        <v>1</v>
      </c>
      <c r="C125" s="6">
        <v>45160</v>
      </c>
      <c r="D125" s="6">
        <v>45163</v>
      </c>
      <c r="E125" s="5" t="s">
        <v>15</v>
      </c>
      <c r="F125" s="5" t="s">
        <v>3</v>
      </c>
      <c r="G125" s="5">
        <v>813</v>
      </c>
      <c r="H125" s="5">
        <v>109.17</v>
      </c>
      <c r="I125" s="5">
        <v>107.39</v>
      </c>
      <c r="J125" s="5">
        <v>14</v>
      </c>
      <c r="K125" s="5" t="s">
        <v>4</v>
      </c>
      <c r="L125" s="5" t="str">
        <f t="shared" si="1"/>
        <v>Cancelled</v>
      </c>
      <c r="M125" t="str" cm="1">
        <f t="array" ref="M125">_xlfn.IFS(B125="Alpha_Inc","S001", B125="Delta_Logistics","S002", B125="Gamma_Co","S003", B125="Beta_Supplies","S004", B125="Epsilon_Group","S005")</f>
        <v>S001</v>
      </c>
      <c r="N125" t="str" cm="1">
        <f t="array" ref="N125">_xlfn.IFS(E125="Electronics","P001", E125="MRO","P002", E125="Office Supplies","P003", E125="Packaging","P004", E125="Raw Materials","P005")</f>
        <v>P005</v>
      </c>
    </row>
    <row r="126" spans="1:14" x14ac:dyDescent="0.2">
      <c r="A126" s="1" t="s">
        <v>140</v>
      </c>
      <c r="B126" s="2" t="s">
        <v>18</v>
      </c>
      <c r="C126" s="3">
        <v>45000</v>
      </c>
      <c r="D126" s="3">
        <v>45011</v>
      </c>
      <c r="E126" s="2" t="s">
        <v>28</v>
      </c>
      <c r="F126" s="2" t="s">
        <v>7</v>
      </c>
      <c r="G126" s="2">
        <v>237</v>
      </c>
      <c r="H126" s="2">
        <v>64.19</v>
      </c>
      <c r="I126" s="2">
        <v>59.01</v>
      </c>
      <c r="J126" s="2">
        <v>7</v>
      </c>
      <c r="K126" s="2" t="s">
        <v>4</v>
      </c>
      <c r="L126" s="2" t="str">
        <f t="shared" si="1"/>
        <v>Delivered</v>
      </c>
      <c r="M126" t="str" cm="1">
        <f t="array" ref="M126">_xlfn.IFS(B126="Alpha_Inc","S001", B126="Delta_Logistics","S002", B126="Gamma_Co","S003", B126="Beta_Supplies","S004", B126="Epsilon_Group","S005")</f>
        <v>S005</v>
      </c>
      <c r="N126" t="str" cm="1">
        <f t="array" ref="N126">_xlfn.IFS(E126="Electronics","P001", E126="MRO","P002", E126="Office Supplies","P003", E126="Packaging","P004", E126="Raw Materials","P005")</f>
        <v>P001</v>
      </c>
    </row>
    <row r="127" spans="1:14" x14ac:dyDescent="0.2">
      <c r="A127" s="4" t="s">
        <v>141</v>
      </c>
      <c r="B127" s="5" t="s">
        <v>1</v>
      </c>
      <c r="C127" s="6">
        <v>45159</v>
      </c>
      <c r="D127" s="6">
        <v>45172</v>
      </c>
      <c r="E127" s="5" t="s">
        <v>2</v>
      </c>
      <c r="F127" s="5" t="s">
        <v>3</v>
      </c>
      <c r="G127" s="5">
        <v>429</v>
      </c>
      <c r="H127" s="5">
        <v>86.73</v>
      </c>
      <c r="I127" s="5">
        <v>75.09</v>
      </c>
      <c r="J127" s="5">
        <v>9</v>
      </c>
      <c r="K127" s="5" t="s">
        <v>4</v>
      </c>
      <c r="L127" s="5" t="str">
        <f t="shared" si="1"/>
        <v>Cancelled</v>
      </c>
      <c r="M127" t="str" cm="1">
        <f t="array" ref="M127">_xlfn.IFS(B127="Alpha_Inc","S001", B127="Delta_Logistics","S002", B127="Gamma_Co","S003", B127="Beta_Supplies","S004", B127="Epsilon_Group","S005")</f>
        <v>S001</v>
      </c>
      <c r="N127" t="str" cm="1">
        <f t="array" ref="N127">_xlfn.IFS(E127="Electronics","P001", E127="MRO","P002", E127="Office Supplies","P003", E127="Packaging","P004", E127="Raw Materials","P005")</f>
        <v>P003</v>
      </c>
    </row>
    <row r="128" spans="1:14" x14ac:dyDescent="0.2">
      <c r="A128" s="1" t="s">
        <v>142</v>
      </c>
      <c r="B128" s="2" t="s">
        <v>6</v>
      </c>
      <c r="C128" s="3">
        <v>44970</v>
      </c>
      <c r="D128" s="3">
        <v>44971</v>
      </c>
      <c r="E128" s="2" t="s">
        <v>13</v>
      </c>
      <c r="F128" s="2" t="s">
        <v>7</v>
      </c>
      <c r="G128" s="2">
        <v>542</v>
      </c>
      <c r="H128" s="2">
        <v>101.21</v>
      </c>
      <c r="I128" s="2">
        <v>93.11</v>
      </c>
      <c r="J128" s="2">
        <v>78</v>
      </c>
      <c r="K128" s="2" t="s">
        <v>16</v>
      </c>
      <c r="L128" s="2" t="str">
        <f t="shared" si="1"/>
        <v>Delivered</v>
      </c>
      <c r="M128" t="str" cm="1">
        <f t="array" ref="M128">_xlfn.IFS(B128="Alpha_Inc","S001", B128="Delta_Logistics","S002", B128="Gamma_Co","S003", B128="Beta_Supplies","S004", B128="Epsilon_Group","S005")</f>
        <v>S002</v>
      </c>
      <c r="N128" t="str" cm="1">
        <f t="array" ref="N128">_xlfn.IFS(E128="Electronics","P001", E128="MRO","P002", E128="Office Supplies","P003", E128="Packaging","P004", E128="Raw Materials","P005")</f>
        <v>P004</v>
      </c>
    </row>
    <row r="129" spans="1:14" x14ac:dyDescent="0.2">
      <c r="A129" s="4" t="s">
        <v>143</v>
      </c>
      <c r="B129" s="5" t="s">
        <v>18</v>
      </c>
      <c r="C129" s="6">
        <v>44932</v>
      </c>
      <c r="D129" s="6">
        <v>44950</v>
      </c>
      <c r="E129" s="5" t="s">
        <v>28</v>
      </c>
      <c r="F129" s="5" t="s">
        <v>7</v>
      </c>
      <c r="G129" s="5">
        <v>1114</v>
      </c>
      <c r="H129" s="5">
        <v>91.66</v>
      </c>
      <c r="I129" s="5">
        <v>85.53</v>
      </c>
      <c r="J129" s="5">
        <v>35</v>
      </c>
      <c r="K129" s="5" t="s">
        <v>4</v>
      </c>
      <c r="L129" s="5" t="str">
        <f t="shared" si="1"/>
        <v>Delivered</v>
      </c>
      <c r="M129" t="str" cm="1">
        <f t="array" ref="M129">_xlfn.IFS(B129="Alpha_Inc","S001", B129="Delta_Logistics","S002", B129="Gamma_Co","S003", B129="Beta_Supplies","S004", B129="Epsilon_Group","S005")</f>
        <v>S005</v>
      </c>
      <c r="N129" t="str" cm="1">
        <f t="array" ref="N129">_xlfn.IFS(E129="Electronics","P001", E129="MRO","P002", E129="Office Supplies","P003", E129="Packaging","P004", E129="Raw Materials","P005")</f>
        <v>P001</v>
      </c>
    </row>
    <row r="130" spans="1:14" x14ac:dyDescent="0.2">
      <c r="A130" s="1" t="s">
        <v>144</v>
      </c>
      <c r="B130" s="2" t="s">
        <v>1</v>
      </c>
      <c r="C130" s="3">
        <v>44786</v>
      </c>
      <c r="D130" s="3">
        <v>44788</v>
      </c>
      <c r="E130" s="2" t="s">
        <v>10</v>
      </c>
      <c r="F130" s="2" t="s">
        <v>7</v>
      </c>
      <c r="G130" s="2">
        <v>1230</v>
      </c>
      <c r="H130" s="2">
        <v>33.39</v>
      </c>
      <c r="I130" s="2">
        <v>30.85</v>
      </c>
      <c r="J130" s="2">
        <v>26</v>
      </c>
      <c r="K130" s="2" t="s">
        <v>4</v>
      </c>
      <c r="L130" s="2" t="str">
        <f t="shared" ref="L130:L193" si="2">IF(F130="Delivered", IF(E130="","Date Missing","Delivered"), F130)</f>
        <v>Delivered</v>
      </c>
      <c r="M130" t="str" cm="1">
        <f t="array" ref="M130">_xlfn.IFS(B130="Alpha_Inc","S001", B130="Delta_Logistics","S002", B130="Gamma_Co","S003", B130="Beta_Supplies","S004", B130="Epsilon_Group","S005")</f>
        <v>S001</v>
      </c>
      <c r="N130" t="str" cm="1">
        <f t="array" ref="N130">_xlfn.IFS(E130="Electronics","P001", E130="MRO","P002", E130="Office Supplies","P003", E130="Packaging","P004", E130="Raw Materials","P005")</f>
        <v>P002</v>
      </c>
    </row>
    <row r="131" spans="1:14" x14ac:dyDescent="0.2">
      <c r="A131" s="4" t="s">
        <v>145</v>
      </c>
      <c r="B131" s="5" t="s">
        <v>12</v>
      </c>
      <c r="C131" s="6">
        <v>44703</v>
      </c>
      <c r="D131" s="6">
        <v>44715</v>
      </c>
      <c r="E131" s="5" t="s">
        <v>10</v>
      </c>
      <c r="F131" s="5" t="s">
        <v>7</v>
      </c>
      <c r="G131" s="5">
        <v>64</v>
      </c>
      <c r="H131" s="5">
        <v>51.56</v>
      </c>
      <c r="I131" s="5">
        <v>50.88</v>
      </c>
      <c r="J131" s="5">
        <v>5</v>
      </c>
      <c r="K131" s="5" t="s">
        <v>4</v>
      </c>
      <c r="L131" s="5" t="str">
        <f t="shared" si="2"/>
        <v>Delivered</v>
      </c>
      <c r="M131" t="str" cm="1">
        <f t="array" ref="M131">_xlfn.IFS(B131="Alpha_Inc","S001", B131="Delta_Logistics","S002", B131="Gamma_Co","S003", B131="Beta_Supplies","S004", B131="Epsilon_Group","S005")</f>
        <v>S004</v>
      </c>
      <c r="N131" t="str" cm="1">
        <f t="array" ref="N131">_xlfn.IFS(E131="Electronics","P001", E131="MRO","P002", E131="Office Supplies","P003", E131="Packaging","P004", E131="Raw Materials","P005")</f>
        <v>P002</v>
      </c>
    </row>
    <row r="132" spans="1:14" x14ac:dyDescent="0.2">
      <c r="A132" s="1" t="s">
        <v>146</v>
      </c>
      <c r="B132" s="2" t="s">
        <v>1</v>
      </c>
      <c r="C132" s="3">
        <v>45083</v>
      </c>
      <c r="D132" s="3">
        <v>45099</v>
      </c>
      <c r="E132" s="2" t="s">
        <v>10</v>
      </c>
      <c r="F132" s="2" t="s">
        <v>7</v>
      </c>
      <c r="G132" s="2">
        <v>1886</v>
      </c>
      <c r="H132" s="2">
        <v>23.46</v>
      </c>
      <c r="I132" s="2">
        <v>23.18</v>
      </c>
      <c r="J132" s="2">
        <v>0</v>
      </c>
      <c r="K132" s="2" t="s">
        <v>4</v>
      </c>
      <c r="L132" s="2" t="str">
        <f t="shared" si="2"/>
        <v>Delivered</v>
      </c>
      <c r="M132" t="str" cm="1">
        <f t="array" ref="M132">_xlfn.IFS(B132="Alpha_Inc","S001", B132="Delta_Logistics","S002", B132="Gamma_Co","S003", B132="Beta_Supplies","S004", B132="Epsilon_Group","S005")</f>
        <v>S001</v>
      </c>
      <c r="N132" t="str" cm="1">
        <f t="array" ref="N132">_xlfn.IFS(E132="Electronics","P001", E132="MRO","P002", E132="Office Supplies","P003", E132="Packaging","P004", E132="Raw Materials","P005")</f>
        <v>P002</v>
      </c>
    </row>
    <row r="133" spans="1:14" x14ac:dyDescent="0.2">
      <c r="A133" s="4" t="s">
        <v>147</v>
      </c>
      <c r="B133" s="5" t="s">
        <v>6</v>
      </c>
      <c r="C133" s="6">
        <v>45067</v>
      </c>
      <c r="D133" s="6">
        <v>45069</v>
      </c>
      <c r="E133" s="5" t="s">
        <v>2</v>
      </c>
      <c r="F133" s="5" t="s">
        <v>7</v>
      </c>
      <c r="G133" s="5">
        <v>114</v>
      </c>
      <c r="H133" s="5">
        <v>103.53</v>
      </c>
      <c r="I133" s="5">
        <v>101.54</v>
      </c>
      <c r="J133" s="5">
        <v>14</v>
      </c>
      <c r="K133" s="5" t="s">
        <v>4</v>
      </c>
      <c r="L133" s="5" t="str">
        <f t="shared" si="2"/>
        <v>Delivered</v>
      </c>
      <c r="M133" t="str" cm="1">
        <f t="array" ref="M133">_xlfn.IFS(B133="Alpha_Inc","S001", B133="Delta_Logistics","S002", B133="Gamma_Co","S003", B133="Beta_Supplies","S004", B133="Epsilon_Group","S005")</f>
        <v>S002</v>
      </c>
      <c r="N133" t="str" cm="1">
        <f t="array" ref="N133">_xlfn.IFS(E133="Electronics","P001", E133="MRO","P002", E133="Office Supplies","P003", E133="Packaging","P004", E133="Raw Materials","P005")</f>
        <v>P003</v>
      </c>
    </row>
    <row r="134" spans="1:14" x14ac:dyDescent="0.2">
      <c r="A134" s="1" t="s">
        <v>148</v>
      </c>
      <c r="B134" s="2" t="s">
        <v>6</v>
      </c>
      <c r="C134" s="3">
        <v>44655</v>
      </c>
      <c r="D134" s="3">
        <v>44673</v>
      </c>
      <c r="E134" s="2" t="s">
        <v>28</v>
      </c>
      <c r="F134" s="2" t="s">
        <v>3</v>
      </c>
      <c r="G134" s="2">
        <v>1930</v>
      </c>
      <c r="H134" s="2">
        <v>65.52</v>
      </c>
      <c r="I134" s="2">
        <v>56.9</v>
      </c>
      <c r="J134" s="2">
        <v>282</v>
      </c>
      <c r="K134" s="2" t="s">
        <v>4</v>
      </c>
      <c r="L134" s="2" t="str">
        <f t="shared" si="2"/>
        <v>Cancelled</v>
      </c>
      <c r="M134" t="str" cm="1">
        <f t="array" ref="M134">_xlfn.IFS(B134="Alpha_Inc","S001", B134="Delta_Logistics","S002", B134="Gamma_Co","S003", B134="Beta_Supplies","S004", B134="Epsilon_Group","S005")</f>
        <v>S002</v>
      </c>
      <c r="N134" t="str" cm="1">
        <f t="array" ref="N134">_xlfn.IFS(E134="Electronics","P001", E134="MRO","P002", E134="Office Supplies","P003", E134="Packaging","P004", E134="Raw Materials","P005")</f>
        <v>P001</v>
      </c>
    </row>
    <row r="135" spans="1:14" x14ac:dyDescent="0.2">
      <c r="A135" s="4" t="s">
        <v>149</v>
      </c>
      <c r="B135" s="5" t="s">
        <v>12</v>
      </c>
      <c r="C135" s="6">
        <v>44610</v>
      </c>
      <c r="D135" s="6">
        <v>44620</v>
      </c>
      <c r="E135" s="5" t="s">
        <v>2</v>
      </c>
      <c r="F135" s="5" t="s">
        <v>24</v>
      </c>
      <c r="G135" s="5">
        <v>1912</v>
      </c>
      <c r="H135" s="5">
        <v>30.73</v>
      </c>
      <c r="I135" s="5">
        <v>29.82</v>
      </c>
      <c r="J135" s="5">
        <v>191</v>
      </c>
      <c r="K135" s="5" t="s">
        <v>4</v>
      </c>
      <c r="L135" s="5" t="str">
        <f t="shared" si="2"/>
        <v>Pending</v>
      </c>
      <c r="M135" t="str" cm="1">
        <f t="array" ref="M135">_xlfn.IFS(B135="Alpha_Inc","S001", B135="Delta_Logistics","S002", B135="Gamma_Co","S003", B135="Beta_Supplies","S004", B135="Epsilon_Group","S005")</f>
        <v>S004</v>
      </c>
      <c r="N135" t="str" cm="1">
        <f t="array" ref="N135">_xlfn.IFS(E135="Electronics","P001", E135="MRO","P002", E135="Office Supplies","P003", E135="Packaging","P004", E135="Raw Materials","P005")</f>
        <v>P003</v>
      </c>
    </row>
    <row r="136" spans="1:14" x14ac:dyDescent="0.2">
      <c r="A136" s="1" t="s">
        <v>150</v>
      </c>
      <c r="B136" s="2" t="s">
        <v>18</v>
      </c>
      <c r="C136" s="3">
        <v>44674</v>
      </c>
      <c r="D136" s="3">
        <v>44690</v>
      </c>
      <c r="E136" s="2" t="s">
        <v>10</v>
      </c>
      <c r="F136" s="2" t="s">
        <v>7</v>
      </c>
      <c r="G136" s="2">
        <v>570</v>
      </c>
      <c r="H136" s="2">
        <v>71.510000000000005</v>
      </c>
      <c r="I136" s="2">
        <v>66.47</v>
      </c>
      <c r="J136" s="2">
        <v>0</v>
      </c>
      <c r="K136" s="2" t="s">
        <v>4</v>
      </c>
      <c r="L136" s="2" t="str">
        <f t="shared" si="2"/>
        <v>Delivered</v>
      </c>
      <c r="M136" t="str" cm="1">
        <f t="array" ref="M136">_xlfn.IFS(B136="Alpha_Inc","S001", B136="Delta_Logistics","S002", B136="Gamma_Co","S003", B136="Beta_Supplies","S004", B136="Epsilon_Group","S005")</f>
        <v>S005</v>
      </c>
      <c r="N136" t="str" cm="1">
        <f t="array" ref="N136">_xlfn.IFS(E136="Electronics","P001", E136="MRO","P002", E136="Office Supplies","P003", E136="Packaging","P004", E136="Raw Materials","P005")</f>
        <v>P002</v>
      </c>
    </row>
    <row r="137" spans="1:14" x14ac:dyDescent="0.2">
      <c r="A137" s="4" t="s">
        <v>151</v>
      </c>
      <c r="B137" s="5" t="s">
        <v>12</v>
      </c>
      <c r="C137" s="6">
        <v>44718</v>
      </c>
      <c r="D137" s="6">
        <v>44738</v>
      </c>
      <c r="E137" s="5" t="s">
        <v>15</v>
      </c>
      <c r="F137" s="5" t="s">
        <v>7</v>
      </c>
      <c r="G137" s="5">
        <v>1417</v>
      </c>
      <c r="H137" s="5">
        <v>67.27</v>
      </c>
      <c r="I137" s="5">
        <v>60.62</v>
      </c>
      <c r="J137" s="5">
        <v>0</v>
      </c>
      <c r="K137" s="5" t="s">
        <v>4</v>
      </c>
      <c r="L137" s="5" t="str">
        <f t="shared" si="2"/>
        <v>Delivered</v>
      </c>
      <c r="M137" t="str" cm="1">
        <f t="array" ref="M137">_xlfn.IFS(B137="Alpha_Inc","S001", B137="Delta_Logistics","S002", B137="Gamma_Co","S003", B137="Beta_Supplies","S004", B137="Epsilon_Group","S005")</f>
        <v>S004</v>
      </c>
      <c r="N137" t="str" cm="1">
        <f t="array" ref="N137">_xlfn.IFS(E137="Electronics","P001", E137="MRO","P002", E137="Office Supplies","P003", E137="Packaging","P004", E137="Raw Materials","P005")</f>
        <v>P005</v>
      </c>
    </row>
    <row r="138" spans="1:14" x14ac:dyDescent="0.2">
      <c r="A138" s="1" t="s">
        <v>152</v>
      </c>
      <c r="B138" s="2" t="s">
        <v>1</v>
      </c>
      <c r="C138" s="3">
        <v>45204</v>
      </c>
      <c r="D138" s="3">
        <v>45210</v>
      </c>
      <c r="E138" s="2" t="s">
        <v>15</v>
      </c>
      <c r="F138" s="2" t="s">
        <v>7</v>
      </c>
      <c r="G138" s="2">
        <v>1202</v>
      </c>
      <c r="H138" s="2">
        <v>46.67</v>
      </c>
      <c r="I138" s="2">
        <v>44.13</v>
      </c>
      <c r="J138" s="2">
        <v>21</v>
      </c>
      <c r="K138" s="2" t="s">
        <v>16</v>
      </c>
      <c r="L138" s="2" t="str">
        <f t="shared" si="2"/>
        <v>Delivered</v>
      </c>
      <c r="M138" t="str" cm="1">
        <f t="array" ref="M138">_xlfn.IFS(B138="Alpha_Inc","S001", B138="Delta_Logistics","S002", B138="Gamma_Co","S003", B138="Beta_Supplies","S004", B138="Epsilon_Group","S005")</f>
        <v>S001</v>
      </c>
      <c r="N138" t="str" cm="1">
        <f t="array" ref="N138">_xlfn.IFS(E138="Electronics","P001", E138="MRO","P002", E138="Office Supplies","P003", E138="Packaging","P004", E138="Raw Materials","P005")</f>
        <v>P005</v>
      </c>
    </row>
    <row r="139" spans="1:14" x14ac:dyDescent="0.2">
      <c r="A139" s="4" t="s">
        <v>153</v>
      </c>
      <c r="B139" s="5" t="s">
        <v>12</v>
      </c>
      <c r="C139" s="6">
        <v>44725</v>
      </c>
      <c r="D139" s="6">
        <v>44726</v>
      </c>
      <c r="E139" s="5" t="s">
        <v>2</v>
      </c>
      <c r="F139" s="5" t="s">
        <v>7</v>
      </c>
      <c r="G139" s="5">
        <v>697</v>
      </c>
      <c r="H139" s="5">
        <v>20.73</v>
      </c>
      <c r="I139" s="5">
        <v>19.829999999999998</v>
      </c>
      <c r="J139" s="5">
        <v>78</v>
      </c>
      <c r="K139" s="5" t="s">
        <v>16</v>
      </c>
      <c r="L139" s="5" t="str">
        <f t="shared" si="2"/>
        <v>Delivered</v>
      </c>
      <c r="M139" t="str" cm="1">
        <f t="array" ref="M139">_xlfn.IFS(B139="Alpha_Inc","S001", B139="Delta_Logistics","S002", B139="Gamma_Co","S003", B139="Beta_Supplies","S004", B139="Epsilon_Group","S005")</f>
        <v>S004</v>
      </c>
      <c r="N139" t="str" cm="1">
        <f t="array" ref="N139">_xlfn.IFS(E139="Electronics","P001", E139="MRO","P002", E139="Office Supplies","P003", E139="Packaging","P004", E139="Raw Materials","P005")</f>
        <v>P003</v>
      </c>
    </row>
    <row r="140" spans="1:14" x14ac:dyDescent="0.2">
      <c r="A140" s="1" t="s">
        <v>154</v>
      </c>
      <c r="B140" s="2" t="s">
        <v>18</v>
      </c>
      <c r="C140" s="3">
        <v>45258</v>
      </c>
      <c r="D140" s="3">
        <v>45261</v>
      </c>
      <c r="E140" s="2" t="s">
        <v>10</v>
      </c>
      <c r="F140" s="2" t="s">
        <v>7</v>
      </c>
      <c r="G140" s="2">
        <v>1545</v>
      </c>
      <c r="H140" s="2">
        <v>78.19</v>
      </c>
      <c r="I140" s="2">
        <v>76.91</v>
      </c>
      <c r="J140" s="2">
        <v>42</v>
      </c>
      <c r="K140" s="2" t="s">
        <v>4</v>
      </c>
      <c r="L140" s="2" t="str">
        <f t="shared" si="2"/>
        <v>Delivered</v>
      </c>
      <c r="M140" t="str" cm="1">
        <f t="array" ref="M140">_xlfn.IFS(B140="Alpha_Inc","S001", B140="Delta_Logistics","S002", B140="Gamma_Co","S003", B140="Beta_Supplies","S004", B140="Epsilon_Group","S005")</f>
        <v>S005</v>
      </c>
      <c r="N140" t="str" cm="1">
        <f t="array" ref="N140">_xlfn.IFS(E140="Electronics","P001", E140="MRO","P002", E140="Office Supplies","P003", E140="Packaging","P004", E140="Raw Materials","P005")</f>
        <v>P002</v>
      </c>
    </row>
    <row r="141" spans="1:14" x14ac:dyDescent="0.2">
      <c r="A141" s="4" t="s">
        <v>155</v>
      </c>
      <c r="B141" s="5" t="s">
        <v>9</v>
      </c>
      <c r="C141" s="6">
        <v>44994</v>
      </c>
      <c r="D141" s="6">
        <v>44998</v>
      </c>
      <c r="E141" s="5" t="s">
        <v>10</v>
      </c>
      <c r="F141" s="5" t="s">
        <v>22</v>
      </c>
      <c r="G141" s="5">
        <v>1136</v>
      </c>
      <c r="H141" s="5">
        <v>60.81</v>
      </c>
      <c r="I141" s="5">
        <v>58.25</v>
      </c>
      <c r="J141" s="5">
        <v>62</v>
      </c>
      <c r="K141" s="5" t="s">
        <v>4</v>
      </c>
      <c r="L141" s="5" t="str">
        <f t="shared" si="2"/>
        <v>Partially Delivered</v>
      </c>
      <c r="M141" t="str" cm="1">
        <f t="array" ref="M141">_xlfn.IFS(B141="Alpha_Inc","S001", B141="Delta_Logistics","S002", B141="Gamma_Co","S003", B141="Beta_Supplies","S004", B141="Epsilon_Group","S005")</f>
        <v>S003</v>
      </c>
      <c r="N141" t="str" cm="1">
        <f t="array" ref="N141">_xlfn.IFS(E141="Electronics","P001", E141="MRO","P002", E141="Office Supplies","P003", E141="Packaging","P004", E141="Raw Materials","P005")</f>
        <v>P002</v>
      </c>
    </row>
    <row r="142" spans="1:14" x14ac:dyDescent="0.2">
      <c r="A142" s="1" t="s">
        <v>156</v>
      </c>
      <c r="B142" s="2" t="s">
        <v>12</v>
      </c>
      <c r="C142" s="3">
        <v>45172</v>
      </c>
      <c r="D142" s="3">
        <v>45176</v>
      </c>
      <c r="E142" s="2" t="s">
        <v>10</v>
      </c>
      <c r="F142" s="2" t="s">
        <v>7</v>
      </c>
      <c r="G142" s="2">
        <v>1212</v>
      </c>
      <c r="H142" s="2">
        <v>87.46</v>
      </c>
      <c r="I142" s="2">
        <v>74.55</v>
      </c>
      <c r="J142" s="2">
        <v>118</v>
      </c>
      <c r="K142" s="2" t="s">
        <v>16</v>
      </c>
      <c r="L142" s="2" t="str">
        <f t="shared" si="2"/>
        <v>Delivered</v>
      </c>
      <c r="M142" t="str" cm="1">
        <f t="array" ref="M142">_xlfn.IFS(B142="Alpha_Inc","S001", B142="Delta_Logistics","S002", B142="Gamma_Co","S003", B142="Beta_Supplies","S004", B142="Epsilon_Group","S005")</f>
        <v>S004</v>
      </c>
      <c r="N142" t="str" cm="1">
        <f t="array" ref="N142">_xlfn.IFS(E142="Electronics","P001", E142="MRO","P002", E142="Office Supplies","P003", E142="Packaging","P004", E142="Raw Materials","P005")</f>
        <v>P002</v>
      </c>
    </row>
    <row r="143" spans="1:14" x14ac:dyDescent="0.2">
      <c r="A143" s="4" t="s">
        <v>157</v>
      </c>
      <c r="B143" s="5" t="s">
        <v>18</v>
      </c>
      <c r="C143" s="6">
        <v>44627</v>
      </c>
      <c r="D143" s="6">
        <v>44632</v>
      </c>
      <c r="E143" s="5" t="s">
        <v>10</v>
      </c>
      <c r="F143" s="5" t="s">
        <v>7</v>
      </c>
      <c r="G143" s="5">
        <v>1572</v>
      </c>
      <c r="H143" s="5">
        <v>57.38</v>
      </c>
      <c r="I143" s="5">
        <v>49.32</v>
      </c>
      <c r="J143" s="5">
        <v>40</v>
      </c>
      <c r="K143" s="5" t="s">
        <v>4</v>
      </c>
      <c r="L143" s="5" t="str">
        <f t="shared" si="2"/>
        <v>Delivered</v>
      </c>
      <c r="M143" t="str" cm="1">
        <f t="array" ref="M143">_xlfn.IFS(B143="Alpha_Inc","S001", B143="Delta_Logistics","S002", B143="Gamma_Co","S003", B143="Beta_Supplies","S004", B143="Epsilon_Group","S005")</f>
        <v>S005</v>
      </c>
      <c r="N143" t="str" cm="1">
        <f t="array" ref="N143">_xlfn.IFS(E143="Electronics","P001", E143="MRO","P002", E143="Office Supplies","P003", E143="Packaging","P004", E143="Raw Materials","P005")</f>
        <v>P002</v>
      </c>
    </row>
    <row r="144" spans="1:14" x14ac:dyDescent="0.2">
      <c r="A144" s="1" t="s">
        <v>158</v>
      </c>
      <c r="B144" s="2" t="s">
        <v>9</v>
      </c>
      <c r="C144" s="3">
        <v>44956</v>
      </c>
      <c r="D144" s="3">
        <v>44966</v>
      </c>
      <c r="E144" s="2" t="s">
        <v>28</v>
      </c>
      <c r="F144" s="2" t="s">
        <v>7</v>
      </c>
      <c r="G144" s="2">
        <v>642</v>
      </c>
      <c r="H144" s="2">
        <v>91.9</v>
      </c>
      <c r="I144" s="2">
        <v>81.489999999999995</v>
      </c>
      <c r="J144" s="2">
        <v>26</v>
      </c>
      <c r="K144" s="2" t="s">
        <v>4</v>
      </c>
      <c r="L144" s="2" t="str">
        <f t="shared" si="2"/>
        <v>Delivered</v>
      </c>
      <c r="M144" t="str" cm="1">
        <f t="array" ref="M144">_xlfn.IFS(B144="Alpha_Inc","S001", B144="Delta_Logistics","S002", B144="Gamma_Co","S003", B144="Beta_Supplies","S004", B144="Epsilon_Group","S005")</f>
        <v>S003</v>
      </c>
      <c r="N144" t="str" cm="1">
        <f t="array" ref="N144">_xlfn.IFS(E144="Electronics","P001", E144="MRO","P002", E144="Office Supplies","P003", E144="Packaging","P004", E144="Raw Materials","P005")</f>
        <v>P001</v>
      </c>
    </row>
    <row r="145" spans="1:14" x14ac:dyDescent="0.2">
      <c r="A145" s="4" t="s">
        <v>159</v>
      </c>
      <c r="B145" s="5" t="s">
        <v>18</v>
      </c>
      <c r="C145" s="6">
        <v>44952</v>
      </c>
      <c r="D145" s="6">
        <v>44961</v>
      </c>
      <c r="E145" s="5" t="s">
        <v>2</v>
      </c>
      <c r="F145" s="5" t="s">
        <v>7</v>
      </c>
      <c r="G145" s="5">
        <v>441</v>
      </c>
      <c r="H145" s="5">
        <v>63.25</v>
      </c>
      <c r="I145" s="5">
        <v>54.12</v>
      </c>
      <c r="J145" s="5">
        <v>16</v>
      </c>
      <c r="K145" s="5" t="s">
        <v>4</v>
      </c>
      <c r="L145" s="5" t="str">
        <f t="shared" si="2"/>
        <v>Delivered</v>
      </c>
      <c r="M145" t="str" cm="1">
        <f t="array" ref="M145">_xlfn.IFS(B145="Alpha_Inc","S001", B145="Delta_Logistics","S002", B145="Gamma_Co","S003", B145="Beta_Supplies","S004", B145="Epsilon_Group","S005")</f>
        <v>S005</v>
      </c>
      <c r="N145" t="str" cm="1">
        <f t="array" ref="N145">_xlfn.IFS(E145="Electronics","P001", E145="MRO","P002", E145="Office Supplies","P003", E145="Packaging","P004", E145="Raw Materials","P005")</f>
        <v>P003</v>
      </c>
    </row>
    <row r="146" spans="1:14" x14ac:dyDescent="0.2">
      <c r="A146" s="1" t="s">
        <v>160</v>
      </c>
      <c r="B146" s="2" t="s">
        <v>18</v>
      </c>
      <c r="C146" s="3">
        <v>45172</v>
      </c>
      <c r="D146" s="3">
        <v>45188</v>
      </c>
      <c r="E146" s="2" t="s">
        <v>2</v>
      </c>
      <c r="F146" s="2" t="s">
        <v>7</v>
      </c>
      <c r="G146" s="2">
        <v>1748</v>
      </c>
      <c r="H146" s="2">
        <v>66.53</v>
      </c>
      <c r="I146" s="2">
        <v>57.11</v>
      </c>
      <c r="J146" s="2">
        <v>0</v>
      </c>
      <c r="K146" s="2" t="s">
        <v>4</v>
      </c>
      <c r="L146" s="2" t="str">
        <f t="shared" si="2"/>
        <v>Delivered</v>
      </c>
      <c r="M146" t="str" cm="1">
        <f t="array" ref="M146">_xlfn.IFS(B146="Alpha_Inc","S001", B146="Delta_Logistics","S002", B146="Gamma_Co","S003", B146="Beta_Supplies","S004", B146="Epsilon_Group","S005")</f>
        <v>S005</v>
      </c>
      <c r="N146" t="str" cm="1">
        <f t="array" ref="N146">_xlfn.IFS(E146="Electronics","P001", E146="MRO","P002", E146="Office Supplies","P003", E146="Packaging","P004", E146="Raw Materials","P005")</f>
        <v>P003</v>
      </c>
    </row>
    <row r="147" spans="1:14" x14ac:dyDescent="0.2">
      <c r="A147" s="4" t="s">
        <v>161</v>
      </c>
      <c r="B147" s="5" t="s">
        <v>9</v>
      </c>
      <c r="C147" s="6">
        <v>45041</v>
      </c>
      <c r="D147" s="6">
        <f>Table1[[#This Row],[Order_Date]]+14</f>
        <v>45055</v>
      </c>
      <c r="E147" s="5" t="s">
        <v>28</v>
      </c>
      <c r="F147" s="5" t="s">
        <v>24</v>
      </c>
      <c r="G147" s="5">
        <v>468</v>
      </c>
      <c r="H147" s="5">
        <v>95.57</v>
      </c>
      <c r="I147" s="5">
        <v>91.8</v>
      </c>
      <c r="J147" s="5">
        <v>24</v>
      </c>
      <c r="K147" s="5" t="s">
        <v>4</v>
      </c>
      <c r="L147" s="5" t="str">
        <f t="shared" si="2"/>
        <v>Pending</v>
      </c>
      <c r="M147" t="str" cm="1">
        <f t="array" ref="M147">_xlfn.IFS(B147="Alpha_Inc","S001", B147="Delta_Logistics","S002", B147="Gamma_Co","S003", B147="Beta_Supplies","S004", B147="Epsilon_Group","S005")</f>
        <v>S003</v>
      </c>
      <c r="N147" t="str" cm="1">
        <f t="array" ref="N147">_xlfn.IFS(E147="Electronics","P001", E147="MRO","P002", E147="Office Supplies","P003", E147="Packaging","P004", E147="Raw Materials","P005")</f>
        <v>P001</v>
      </c>
    </row>
    <row r="148" spans="1:14" x14ac:dyDescent="0.2">
      <c r="A148" s="1" t="s">
        <v>162</v>
      </c>
      <c r="B148" s="2" t="s">
        <v>12</v>
      </c>
      <c r="C148" s="3">
        <v>45103</v>
      </c>
      <c r="D148" s="3">
        <v>45121</v>
      </c>
      <c r="E148" s="2" t="s">
        <v>15</v>
      </c>
      <c r="F148" s="2" t="s">
        <v>7</v>
      </c>
      <c r="G148" s="2">
        <v>338</v>
      </c>
      <c r="H148" s="2">
        <v>50.25</v>
      </c>
      <c r="I148" s="2">
        <v>46.28</v>
      </c>
      <c r="J148" s="2">
        <v>49</v>
      </c>
      <c r="K148" s="2" t="s">
        <v>16</v>
      </c>
      <c r="L148" s="2" t="str">
        <f t="shared" si="2"/>
        <v>Delivered</v>
      </c>
      <c r="M148" t="str" cm="1">
        <f t="array" ref="M148">_xlfn.IFS(B148="Alpha_Inc","S001", B148="Delta_Logistics","S002", B148="Gamma_Co","S003", B148="Beta_Supplies","S004", B148="Epsilon_Group","S005")</f>
        <v>S004</v>
      </c>
      <c r="N148" t="str" cm="1">
        <f t="array" ref="N148">_xlfn.IFS(E148="Electronics","P001", E148="MRO","P002", E148="Office Supplies","P003", E148="Packaging","P004", E148="Raw Materials","P005")</f>
        <v>P005</v>
      </c>
    </row>
    <row r="149" spans="1:14" x14ac:dyDescent="0.2">
      <c r="A149" s="4" t="s">
        <v>163</v>
      </c>
      <c r="B149" s="5" t="s">
        <v>9</v>
      </c>
      <c r="C149" s="6">
        <v>44819</v>
      </c>
      <c r="D149" s="6">
        <v>44826</v>
      </c>
      <c r="E149" s="5" t="s">
        <v>2</v>
      </c>
      <c r="F149" s="5" t="s">
        <v>7</v>
      </c>
      <c r="G149" s="5">
        <v>428</v>
      </c>
      <c r="H149" s="5">
        <v>22.94</v>
      </c>
      <c r="I149" s="5">
        <v>21.52</v>
      </c>
      <c r="J149" s="5">
        <v>26</v>
      </c>
      <c r="K149" s="5" t="s">
        <v>4</v>
      </c>
      <c r="L149" s="5" t="str">
        <f t="shared" si="2"/>
        <v>Delivered</v>
      </c>
      <c r="M149" t="str" cm="1">
        <f t="array" ref="M149">_xlfn.IFS(B149="Alpha_Inc","S001", B149="Delta_Logistics","S002", B149="Gamma_Co","S003", B149="Beta_Supplies","S004", B149="Epsilon_Group","S005")</f>
        <v>S003</v>
      </c>
      <c r="N149" t="str" cm="1">
        <f t="array" ref="N149">_xlfn.IFS(E149="Electronics","P001", E149="MRO","P002", E149="Office Supplies","P003", E149="Packaging","P004", E149="Raw Materials","P005")</f>
        <v>P003</v>
      </c>
    </row>
    <row r="150" spans="1:14" x14ac:dyDescent="0.2">
      <c r="A150" s="1" t="s">
        <v>164</v>
      </c>
      <c r="B150" s="2" t="s">
        <v>12</v>
      </c>
      <c r="C150" s="3">
        <v>45128</v>
      </c>
      <c r="D150" s="3">
        <f>Table1[[#This Row],[Order_Date]]+14</f>
        <v>45142</v>
      </c>
      <c r="E150" s="2" t="s">
        <v>13</v>
      </c>
      <c r="F150" s="2" t="s">
        <v>7</v>
      </c>
      <c r="G150" s="2">
        <v>1846</v>
      </c>
      <c r="H150" s="2">
        <v>13.72</v>
      </c>
      <c r="I150" s="2">
        <v>12.62</v>
      </c>
      <c r="J150" s="2">
        <v>216</v>
      </c>
      <c r="K150" s="2" t="s">
        <v>4</v>
      </c>
      <c r="L150" s="2" t="str">
        <f t="shared" si="2"/>
        <v>Delivered</v>
      </c>
      <c r="M150" t="str" cm="1">
        <f t="array" ref="M150">_xlfn.IFS(B150="Alpha_Inc","S001", B150="Delta_Logistics","S002", B150="Gamma_Co","S003", B150="Beta_Supplies","S004", B150="Epsilon_Group","S005")</f>
        <v>S004</v>
      </c>
      <c r="N150" t="str" cm="1">
        <f t="array" ref="N150">_xlfn.IFS(E150="Electronics","P001", E150="MRO","P002", E150="Office Supplies","P003", E150="Packaging","P004", E150="Raw Materials","P005")</f>
        <v>P004</v>
      </c>
    </row>
    <row r="151" spans="1:14" x14ac:dyDescent="0.2">
      <c r="A151" s="4" t="s">
        <v>165</v>
      </c>
      <c r="B151" s="5" t="s">
        <v>18</v>
      </c>
      <c r="C151" s="6">
        <v>44573</v>
      </c>
      <c r="D151" s="6">
        <v>44578</v>
      </c>
      <c r="E151" s="5" t="s">
        <v>2</v>
      </c>
      <c r="F151" s="5" t="s">
        <v>7</v>
      </c>
      <c r="G151" s="5">
        <v>1563</v>
      </c>
      <c r="H151" s="5">
        <v>77.959999999999994</v>
      </c>
      <c r="I151" s="5">
        <v>70.8</v>
      </c>
      <c r="J151" s="5">
        <v>41</v>
      </c>
      <c r="K151" s="5" t="s">
        <v>4</v>
      </c>
      <c r="L151" s="5" t="str">
        <f t="shared" si="2"/>
        <v>Delivered</v>
      </c>
      <c r="M151" t="str" cm="1">
        <f t="array" ref="M151">_xlfn.IFS(B151="Alpha_Inc","S001", B151="Delta_Logistics","S002", B151="Gamma_Co","S003", B151="Beta_Supplies","S004", B151="Epsilon_Group","S005")</f>
        <v>S005</v>
      </c>
      <c r="N151" t="str" cm="1">
        <f t="array" ref="N151">_xlfn.IFS(E151="Electronics","P001", E151="MRO","P002", E151="Office Supplies","P003", E151="Packaging","P004", E151="Raw Materials","P005")</f>
        <v>P003</v>
      </c>
    </row>
    <row r="152" spans="1:14" x14ac:dyDescent="0.2">
      <c r="A152" s="1" t="s">
        <v>166</v>
      </c>
      <c r="B152" s="2" t="s">
        <v>12</v>
      </c>
      <c r="C152" s="3">
        <v>45258</v>
      </c>
      <c r="D152" s="3">
        <v>45267</v>
      </c>
      <c r="E152" s="2" t="s">
        <v>2</v>
      </c>
      <c r="F152" s="2" t="s">
        <v>7</v>
      </c>
      <c r="G152" s="2">
        <v>280</v>
      </c>
      <c r="H152" s="2">
        <v>73.069999999999993</v>
      </c>
      <c r="I152" s="2">
        <v>69.290000000000006</v>
      </c>
      <c r="J152" s="2">
        <v>30</v>
      </c>
      <c r="K152" s="2" t="s">
        <v>4</v>
      </c>
      <c r="L152" s="2" t="str">
        <f t="shared" si="2"/>
        <v>Delivered</v>
      </c>
      <c r="M152" t="str" cm="1">
        <f t="array" ref="M152">_xlfn.IFS(B152="Alpha_Inc","S001", B152="Delta_Logistics","S002", B152="Gamma_Co","S003", B152="Beta_Supplies","S004", B152="Epsilon_Group","S005")</f>
        <v>S004</v>
      </c>
      <c r="N152" t="str" cm="1">
        <f t="array" ref="N152">_xlfn.IFS(E152="Electronics","P001", E152="MRO","P002", E152="Office Supplies","P003", E152="Packaging","P004", E152="Raw Materials","P005")</f>
        <v>P003</v>
      </c>
    </row>
    <row r="153" spans="1:14" x14ac:dyDescent="0.2">
      <c r="A153" s="4" t="s">
        <v>167</v>
      </c>
      <c r="B153" s="5" t="s">
        <v>6</v>
      </c>
      <c r="C153" s="6">
        <v>44679</v>
      </c>
      <c r="D153" s="6">
        <v>44693</v>
      </c>
      <c r="E153" s="5" t="s">
        <v>15</v>
      </c>
      <c r="F153" s="5" t="s">
        <v>7</v>
      </c>
      <c r="G153" s="5">
        <v>1067</v>
      </c>
      <c r="H153" s="5">
        <v>74.47</v>
      </c>
      <c r="I153" s="5">
        <v>64.16</v>
      </c>
      <c r="J153" s="5">
        <v>0</v>
      </c>
      <c r="K153" s="5" t="s">
        <v>16</v>
      </c>
      <c r="L153" s="5" t="str">
        <f t="shared" si="2"/>
        <v>Delivered</v>
      </c>
      <c r="M153" t="str" cm="1">
        <f t="array" ref="M153">_xlfn.IFS(B153="Alpha_Inc","S001", B153="Delta_Logistics","S002", B153="Gamma_Co","S003", B153="Beta_Supplies","S004", B153="Epsilon_Group","S005")</f>
        <v>S002</v>
      </c>
      <c r="N153" t="str" cm="1">
        <f t="array" ref="N153">_xlfn.IFS(E153="Electronics","P001", E153="MRO","P002", E153="Office Supplies","P003", E153="Packaging","P004", E153="Raw Materials","P005")</f>
        <v>P005</v>
      </c>
    </row>
    <row r="154" spans="1:14" x14ac:dyDescent="0.2">
      <c r="A154" s="1" t="s">
        <v>168</v>
      </c>
      <c r="B154" s="2" t="s">
        <v>9</v>
      </c>
      <c r="C154" s="3">
        <v>45260</v>
      </c>
      <c r="D154" s="3">
        <v>45277</v>
      </c>
      <c r="E154" s="2" t="s">
        <v>28</v>
      </c>
      <c r="F154" s="2" t="s">
        <v>24</v>
      </c>
      <c r="G154" s="2">
        <v>90</v>
      </c>
      <c r="H154" s="2">
        <v>32.380000000000003</v>
      </c>
      <c r="I154" s="2">
        <v>29.96</v>
      </c>
      <c r="J154" s="2">
        <v>7</v>
      </c>
      <c r="K154" s="2" t="s">
        <v>4</v>
      </c>
      <c r="L154" s="2" t="str">
        <f t="shared" si="2"/>
        <v>Pending</v>
      </c>
      <c r="M154" t="str" cm="1">
        <f t="array" ref="M154">_xlfn.IFS(B154="Alpha_Inc","S001", B154="Delta_Logistics","S002", B154="Gamma_Co","S003", B154="Beta_Supplies","S004", B154="Epsilon_Group","S005")</f>
        <v>S003</v>
      </c>
      <c r="N154" t="str" cm="1">
        <f t="array" ref="N154">_xlfn.IFS(E154="Electronics","P001", E154="MRO","P002", E154="Office Supplies","P003", E154="Packaging","P004", E154="Raw Materials","P005")</f>
        <v>P001</v>
      </c>
    </row>
    <row r="155" spans="1:14" x14ac:dyDescent="0.2">
      <c r="A155" s="4" t="s">
        <v>169</v>
      </c>
      <c r="B155" s="5" t="s">
        <v>9</v>
      </c>
      <c r="C155" s="6">
        <v>45111</v>
      </c>
      <c r="D155" s="6">
        <v>45112</v>
      </c>
      <c r="E155" s="5" t="s">
        <v>15</v>
      </c>
      <c r="F155" s="5" t="s">
        <v>7</v>
      </c>
      <c r="G155" s="5">
        <v>1101</v>
      </c>
      <c r="H155" s="5">
        <v>24.28</v>
      </c>
      <c r="I155" s="5">
        <v>22.73</v>
      </c>
      <c r="J155" s="5">
        <v>59</v>
      </c>
      <c r="K155" s="5" t="s">
        <v>16</v>
      </c>
      <c r="L155" s="5" t="str">
        <f t="shared" si="2"/>
        <v>Delivered</v>
      </c>
      <c r="M155" t="str" cm="1">
        <f t="array" ref="M155">_xlfn.IFS(B155="Alpha_Inc","S001", B155="Delta_Logistics","S002", B155="Gamma_Co","S003", B155="Beta_Supplies","S004", B155="Epsilon_Group","S005")</f>
        <v>S003</v>
      </c>
      <c r="N155" t="str" cm="1">
        <f t="array" ref="N155">_xlfn.IFS(E155="Electronics","P001", E155="MRO","P002", E155="Office Supplies","P003", E155="Packaging","P004", E155="Raw Materials","P005")</f>
        <v>P005</v>
      </c>
    </row>
    <row r="156" spans="1:14" x14ac:dyDescent="0.2">
      <c r="A156" s="1" t="s">
        <v>170</v>
      </c>
      <c r="B156" s="2" t="s">
        <v>1</v>
      </c>
      <c r="C156" s="3">
        <v>44835</v>
      </c>
      <c r="D156" s="3">
        <v>44845</v>
      </c>
      <c r="E156" s="2" t="s">
        <v>15</v>
      </c>
      <c r="F156" s="2" t="s">
        <v>7</v>
      </c>
      <c r="G156" s="2">
        <v>184</v>
      </c>
      <c r="H156" s="2">
        <v>11.82</v>
      </c>
      <c r="I156" s="2">
        <v>10.51</v>
      </c>
      <c r="J156" s="2">
        <v>4</v>
      </c>
      <c r="K156" s="2" t="s">
        <v>4</v>
      </c>
      <c r="L156" s="2" t="str">
        <f t="shared" si="2"/>
        <v>Delivered</v>
      </c>
      <c r="M156" t="str" cm="1">
        <f t="array" ref="M156">_xlfn.IFS(B156="Alpha_Inc","S001", B156="Delta_Logistics","S002", B156="Gamma_Co","S003", B156="Beta_Supplies","S004", B156="Epsilon_Group","S005")</f>
        <v>S001</v>
      </c>
      <c r="N156" t="str" cm="1">
        <f t="array" ref="N156">_xlfn.IFS(E156="Electronics","P001", E156="MRO","P002", E156="Office Supplies","P003", E156="Packaging","P004", E156="Raw Materials","P005")</f>
        <v>P005</v>
      </c>
    </row>
    <row r="157" spans="1:14" x14ac:dyDescent="0.2">
      <c r="A157" s="4" t="s">
        <v>171</v>
      </c>
      <c r="B157" s="5" t="s">
        <v>18</v>
      </c>
      <c r="C157" s="6">
        <v>45218</v>
      </c>
      <c r="D157" s="6">
        <v>45237</v>
      </c>
      <c r="E157" s="5" t="s">
        <v>28</v>
      </c>
      <c r="F157" s="5" t="s">
        <v>7</v>
      </c>
      <c r="G157" s="5">
        <v>250</v>
      </c>
      <c r="H157" s="5">
        <v>45.92</v>
      </c>
      <c r="I157" s="5">
        <v>41.02</v>
      </c>
      <c r="J157" s="5">
        <v>3</v>
      </c>
      <c r="K157" s="5" t="s">
        <v>4</v>
      </c>
      <c r="L157" s="5" t="str">
        <f t="shared" si="2"/>
        <v>Delivered</v>
      </c>
      <c r="M157" t="str" cm="1">
        <f t="array" ref="M157">_xlfn.IFS(B157="Alpha_Inc","S001", B157="Delta_Logistics","S002", B157="Gamma_Co","S003", B157="Beta_Supplies","S004", B157="Epsilon_Group","S005")</f>
        <v>S005</v>
      </c>
      <c r="N157" t="str" cm="1">
        <f t="array" ref="N157">_xlfn.IFS(E157="Electronics","P001", E157="MRO","P002", E157="Office Supplies","P003", E157="Packaging","P004", E157="Raw Materials","P005")</f>
        <v>P001</v>
      </c>
    </row>
    <row r="158" spans="1:14" x14ac:dyDescent="0.2">
      <c r="A158" s="1" t="s">
        <v>172</v>
      </c>
      <c r="B158" s="2" t="s">
        <v>18</v>
      </c>
      <c r="C158" s="3">
        <v>44910</v>
      </c>
      <c r="D158" s="3">
        <f>Table1[[#This Row],[Order_Date]]+14</f>
        <v>44924</v>
      </c>
      <c r="E158" s="2" t="s">
        <v>13</v>
      </c>
      <c r="F158" s="2" t="s">
        <v>3</v>
      </c>
      <c r="G158" s="2">
        <v>1913</v>
      </c>
      <c r="H158" s="2">
        <v>66.56</v>
      </c>
      <c r="I158" s="2">
        <v>61.34</v>
      </c>
      <c r="J158" s="2">
        <v>61</v>
      </c>
      <c r="K158" s="2" t="s">
        <v>4</v>
      </c>
      <c r="L158" s="2" t="str">
        <f t="shared" si="2"/>
        <v>Cancelled</v>
      </c>
      <c r="M158" t="str" cm="1">
        <f t="array" ref="M158">_xlfn.IFS(B158="Alpha_Inc","S001", B158="Delta_Logistics","S002", B158="Gamma_Co","S003", B158="Beta_Supplies","S004", B158="Epsilon_Group","S005")</f>
        <v>S005</v>
      </c>
      <c r="N158" t="str" cm="1">
        <f t="array" ref="N158">_xlfn.IFS(E158="Electronics","P001", E158="MRO","P002", E158="Office Supplies","P003", E158="Packaging","P004", E158="Raw Materials","P005")</f>
        <v>P004</v>
      </c>
    </row>
    <row r="159" spans="1:14" x14ac:dyDescent="0.2">
      <c r="A159" s="4" t="s">
        <v>173</v>
      </c>
      <c r="B159" s="5" t="s">
        <v>12</v>
      </c>
      <c r="C159" s="6">
        <v>44676</v>
      </c>
      <c r="D159" s="6">
        <v>44681</v>
      </c>
      <c r="E159" s="5" t="s">
        <v>28</v>
      </c>
      <c r="F159" s="5" t="s">
        <v>7</v>
      </c>
      <c r="G159" s="5">
        <v>829</v>
      </c>
      <c r="H159" s="5">
        <v>45.98</v>
      </c>
      <c r="I159" s="5">
        <v>40.39</v>
      </c>
      <c r="J159" s="5">
        <v>0</v>
      </c>
      <c r="K159" s="5" t="s">
        <v>4</v>
      </c>
      <c r="L159" s="5" t="str">
        <f t="shared" si="2"/>
        <v>Delivered</v>
      </c>
      <c r="M159" t="str" cm="1">
        <f t="array" ref="M159">_xlfn.IFS(B159="Alpha_Inc","S001", B159="Delta_Logistics","S002", B159="Gamma_Co","S003", B159="Beta_Supplies","S004", B159="Epsilon_Group","S005")</f>
        <v>S004</v>
      </c>
      <c r="N159" t="str" cm="1">
        <f t="array" ref="N159">_xlfn.IFS(E159="Electronics","P001", E159="MRO","P002", E159="Office Supplies","P003", E159="Packaging","P004", E159="Raw Materials","P005")</f>
        <v>P001</v>
      </c>
    </row>
    <row r="160" spans="1:14" x14ac:dyDescent="0.2">
      <c r="A160" s="1" t="s">
        <v>174</v>
      </c>
      <c r="B160" s="2" t="s">
        <v>6</v>
      </c>
      <c r="C160" s="3">
        <v>44862</v>
      </c>
      <c r="D160" s="3">
        <v>44878</v>
      </c>
      <c r="E160" s="2" t="s">
        <v>15</v>
      </c>
      <c r="F160" s="2" t="s">
        <v>7</v>
      </c>
      <c r="G160" s="2">
        <v>979</v>
      </c>
      <c r="H160" s="2">
        <v>51.59</v>
      </c>
      <c r="I160" s="2">
        <v>49.69</v>
      </c>
      <c r="J160" s="2">
        <v>148</v>
      </c>
      <c r="K160" s="2" t="s">
        <v>4</v>
      </c>
      <c r="L160" s="2" t="str">
        <f t="shared" si="2"/>
        <v>Delivered</v>
      </c>
      <c r="M160" t="str" cm="1">
        <f t="array" ref="M160">_xlfn.IFS(B160="Alpha_Inc","S001", B160="Delta_Logistics","S002", B160="Gamma_Co","S003", B160="Beta_Supplies","S004", B160="Epsilon_Group","S005")</f>
        <v>S002</v>
      </c>
      <c r="N160" t="str" cm="1">
        <f t="array" ref="N160">_xlfn.IFS(E160="Electronics","P001", E160="MRO","P002", E160="Office Supplies","P003", E160="Packaging","P004", E160="Raw Materials","P005")</f>
        <v>P005</v>
      </c>
    </row>
    <row r="161" spans="1:14" x14ac:dyDescent="0.2">
      <c r="A161" s="4" t="s">
        <v>175</v>
      </c>
      <c r="B161" s="5" t="s">
        <v>18</v>
      </c>
      <c r="C161" s="6">
        <v>45007</v>
      </c>
      <c r="D161" s="6">
        <v>45025</v>
      </c>
      <c r="E161" s="5" t="s">
        <v>28</v>
      </c>
      <c r="F161" s="5" t="s">
        <v>22</v>
      </c>
      <c r="G161" s="5">
        <v>1106</v>
      </c>
      <c r="H161" s="5">
        <v>97.77</v>
      </c>
      <c r="I161" s="5">
        <v>90.45</v>
      </c>
      <c r="J161" s="5">
        <v>31</v>
      </c>
      <c r="K161" s="5" t="s">
        <v>4</v>
      </c>
      <c r="L161" s="5" t="str">
        <f t="shared" si="2"/>
        <v>Partially Delivered</v>
      </c>
      <c r="M161" t="str" cm="1">
        <f t="array" ref="M161">_xlfn.IFS(B161="Alpha_Inc","S001", B161="Delta_Logistics","S002", B161="Gamma_Co","S003", B161="Beta_Supplies","S004", B161="Epsilon_Group","S005")</f>
        <v>S005</v>
      </c>
      <c r="N161" t="str" cm="1">
        <f t="array" ref="N161">_xlfn.IFS(E161="Electronics","P001", E161="MRO","P002", E161="Office Supplies","P003", E161="Packaging","P004", E161="Raw Materials","P005")</f>
        <v>P001</v>
      </c>
    </row>
    <row r="162" spans="1:14" x14ac:dyDescent="0.2">
      <c r="A162" s="1" t="s">
        <v>176</v>
      </c>
      <c r="B162" s="2" t="s">
        <v>6</v>
      </c>
      <c r="C162" s="3">
        <v>44723</v>
      </c>
      <c r="D162" s="3">
        <v>44736</v>
      </c>
      <c r="E162" s="2" t="s">
        <v>2</v>
      </c>
      <c r="F162" s="2" t="s">
        <v>24</v>
      </c>
      <c r="G162" s="2">
        <v>1121</v>
      </c>
      <c r="H162" s="2">
        <v>42.38</v>
      </c>
      <c r="I162" s="2">
        <v>38.340000000000003</v>
      </c>
      <c r="J162" s="2">
        <v>152</v>
      </c>
      <c r="K162" s="2" t="s">
        <v>4</v>
      </c>
      <c r="L162" s="2" t="str">
        <f t="shared" si="2"/>
        <v>Pending</v>
      </c>
      <c r="M162" t="str" cm="1">
        <f t="array" ref="M162">_xlfn.IFS(B162="Alpha_Inc","S001", B162="Delta_Logistics","S002", B162="Gamma_Co","S003", B162="Beta_Supplies","S004", B162="Epsilon_Group","S005")</f>
        <v>S002</v>
      </c>
      <c r="N162" t="str" cm="1">
        <f t="array" ref="N162">_xlfn.IFS(E162="Electronics","P001", E162="MRO","P002", E162="Office Supplies","P003", E162="Packaging","P004", E162="Raw Materials","P005")</f>
        <v>P003</v>
      </c>
    </row>
    <row r="163" spans="1:14" x14ac:dyDescent="0.2">
      <c r="A163" s="4" t="s">
        <v>177</v>
      </c>
      <c r="B163" s="5" t="s">
        <v>1</v>
      </c>
      <c r="C163" s="6">
        <v>45026</v>
      </c>
      <c r="D163" s="6">
        <v>45037</v>
      </c>
      <c r="E163" s="5" t="s">
        <v>2</v>
      </c>
      <c r="F163" s="5" t="s">
        <v>7</v>
      </c>
      <c r="G163" s="5">
        <v>552</v>
      </c>
      <c r="H163" s="5">
        <v>60.48</v>
      </c>
      <c r="I163" s="5">
        <v>56.78</v>
      </c>
      <c r="J163" s="5">
        <v>10</v>
      </c>
      <c r="K163" s="5" t="s">
        <v>4</v>
      </c>
      <c r="L163" s="5" t="str">
        <f t="shared" si="2"/>
        <v>Delivered</v>
      </c>
      <c r="M163" t="str" cm="1">
        <f t="array" ref="M163">_xlfn.IFS(B163="Alpha_Inc","S001", B163="Delta_Logistics","S002", B163="Gamma_Co","S003", B163="Beta_Supplies","S004", B163="Epsilon_Group","S005")</f>
        <v>S001</v>
      </c>
      <c r="N163" t="str" cm="1">
        <f t="array" ref="N163">_xlfn.IFS(E163="Electronics","P001", E163="MRO","P002", E163="Office Supplies","P003", E163="Packaging","P004", E163="Raw Materials","P005")</f>
        <v>P003</v>
      </c>
    </row>
    <row r="164" spans="1:14" x14ac:dyDescent="0.2">
      <c r="A164" s="1" t="s">
        <v>178</v>
      </c>
      <c r="B164" s="2" t="s">
        <v>9</v>
      </c>
      <c r="C164" s="3">
        <v>44565</v>
      </c>
      <c r="D164" s="3">
        <v>44573</v>
      </c>
      <c r="E164" s="2" t="s">
        <v>13</v>
      </c>
      <c r="F164" s="2" t="s">
        <v>7</v>
      </c>
      <c r="G164" s="2">
        <v>456</v>
      </c>
      <c r="H164" s="2">
        <v>80.53</v>
      </c>
      <c r="I164" s="2">
        <v>77.86</v>
      </c>
      <c r="J164" s="2">
        <v>26</v>
      </c>
      <c r="K164" s="2" t="s">
        <v>4</v>
      </c>
      <c r="L164" s="2" t="str">
        <f t="shared" si="2"/>
        <v>Delivered</v>
      </c>
      <c r="M164" t="str" cm="1">
        <f t="array" ref="M164">_xlfn.IFS(B164="Alpha_Inc","S001", B164="Delta_Logistics","S002", B164="Gamma_Co","S003", B164="Beta_Supplies","S004", B164="Epsilon_Group","S005")</f>
        <v>S003</v>
      </c>
      <c r="N164" t="str" cm="1">
        <f t="array" ref="N164">_xlfn.IFS(E164="Electronics","P001", E164="MRO","P002", E164="Office Supplies","P003", E164="Packaging","P004", E164="Raw Materials","P005")</f>
        <v>P004</v>
      </c>
    </row>
    <row r="165" spans="1:14" x14ac:dyDescent="0.2">
      <c r="A165" s="4" t="s">
        <v>179</v>
      </c>
      <c r="B165" s="5" t="s">
        <v>6</v>
      </c>
      <c r="C165" s="6">
        <v>44831</v>
      </c>
      <c r="D165" s="6">
        <v>44839</v>
      </c>
      <c r="E165" s="5" t="s">
        <v>13</v>
      </c>
      <c r="F165" s="5" t="s">
        <v>7</v>
      </c>
      <c r="G165" s="5">
        <v>1647</v>
      </c>
      <c r="H165" s="5">
        <v>47.52</v>
      </c>
      <c r="I165" s="5">
        <v>44.92</v>
      </c>
      <c r="J165" s="5">
        <v>0</v>
      </c>
      <c r="K165" s="5" t="s">
        <v>4</v>
      </c>
      <c r="L165" s="5" t="str">
        <f t="shared" si="2"/>
        <v>Delivered</v>
      </c>
      <c r="M165" t="str" cm="1">
        <f t="array" ref="M165">_xlfn.IFS(B165="Alpha_Inc","S001", B165="Delta_Logistics","S002", B165="Gamma_Co","S003", B165="Beta_Supplies","S004", B165="Epsilon_Group","S005")</f>
        <v>S002</v>
      </c>
      <c r="N165" t="str" cm="1">
        <f t="array" ref="N165">_xlfn.IFS(E165="Electronics","P001", E165="MRO","P002", E165="Office Supplies","P003", E165="Packaging","P004", E165="Raw Materials","P005")</f>
        <v>P004</v>
      </c>
    </row>
    <row r="166" spans="1:14" x14ac:dyDescent="0.2">
      <c r="A166" s="1" t="s">
        <v>180</v>
      </c>
      <c r="B166" s="2" t="s">
        <v>18</v>
      </c>
      <c r="C166" s="3">
        <v>45074</v>
      </c>
      <c r="D166" s="3">
        <v>45088</v>
      </c>
      <c r="E166" s="2" t="s">
        <v>28</v>
      </c>
      <c r="F166" s="2" t="s">
        <v>24</v>
      </c>
      <c r="G166" s="2">
        <v>1801</v>
      </c>
      <c r="H166" s="2">
        <v>71.27</v>
      </c>
      <c r="I166" s="2">
        <v>61.24</v>
      </c>
      <c r="J166" s="2">
        <v>43</v>
      </c>
      <c r="K166" s="2" t="s">
        <v>4</v>
      </c>
      <c r="L166" s="2" t="str">
        <f t="shared" si="2"/>
        <v>Pending</v>
      </c>
      <c r="M166" t="str" cm="1">
        <f t="array" ref="M166">_xlfn.IFS(B166="Alpha_Inc","S001", B166="Delta_Logistics","S002", B166="Gamma_Co","S003", B166="Beta_Supplies","S004", B166="Epsilon_Group","S005")</f>
        <v>S005</v>
      </c>
      <c r="N166" t="str" cm="1">
        <f t="array" ref="N166">_xlfn.IFS(E166="Electronics","P001", E166="MRO","P002", E166="Office Supplies","P003", E166="Packaging","P004", E166="Raw Materials","P005")</f>
        <v>P001</v>
      </c>
    </row>
    <row r="167" spans="1:14" x14ac:dyDescent="0.2">
      <c r="A167" s="4" t="s">
        <v>181</v>
      </c>
      <c r="B167" s="5" t="s">
        <v>9</v>
      </c>
      <c r="C167" s="6">
        <v>44744</v>
      </c>
      <c r="D167" s="6">
        <v>44760</v>
      </c>
      <c r="E167" s="5" t="s">
        <v>28</v>
      </c>
      <c r="F167" s="5" t="s">
        <v>7</v>
      </c>
      <c r="G167" s="5">
        <v>854</v>
      </c>
      <c r="H167" s="5">
        <v>90.24</v>
      </c>
      <c r="I167" s="5">
        <v>85.53</v>
      </c>
      <c r="J167" s="5">
        <v>0</v>
      </c>
      <c r="K167" s="5" t="s">
        <v>4</v>
      </c>
      <c r="L167" s="5" t="str">
        <f t="shared" si="2"/>
        <v>Delivered</v>
      </c>
      <c r="M167" t="str" cm="1">
        <f t="array" ref="M167">_xlfn.IFS(B167="Alpha_Inc","S001", B167="Delta_Logistics","S002", B167="Gamma_Co","S003", B167="Beta_Supplies","S004", B167="Epsilon_Group","S005")</f>
        <v>S003</v>
      </c>
      <c r="N167" t="str" cm="1">
        <f t="array" ref="N167">_xlfn.IFS(E167="Electronics","P001", E167="MRO","P002", E167="Office Supplies","P003", E167="Packaging","P004", E167="Raw Materials","P005")</f>
        <v>P001</v>
      </c>
    </row>
    <row r="168" spans="1:14" x14ac:dyDescent="0.2">
      <c r="A168" s="1" t="s">
        <v>182</v>
      </c>
      <c r="B168" s="2" t="s">
        <v>6</v>
      </c>
      <c r="C168" s="3">
        <v>45081</v>
      </c>
      <c r="D168" s="3">
        <v>45094</v>
      </c>
      <c r="E168" s="2" t="s">
        <v>28</v>
      </c>
      <c r="F168" s="2" t="s">
        <v>7</v>
      </c>
      <c r="G168" s="2">
        <v>148</v>
      </c>
      <c r="H168" s="2">
        <v>103.57</v>
      </c>
      <c r="I168" s="2">
        <v>98.62</v>
      </c>
      <c r="J168" s="2">
        <v>23</v>
      </c>
      <c r="K168" s="2" t="s">
        <v>16</v>
      </c>
      <c r="L168" s="2" t="str">
        <f t="shared" si="2"/>
        <v>Delivered</v>
      </c>
      <c r="M168" t="str" cm="1">
        <f t="array" ref="M168">_xlfn.IFS(B168="Alpha_Inc","S001", B168="Delta_Logistics","S002", B168="Gamma_Co","S003", B168="Beta_Supplies","S004", B168="Epsilon_Group","S005")</f>
        <v>S002</v>
      </c>
      <c r="N168" t="str" cm="1">
        <f t="array" ref="N168">_xlfn.IFS(E168="Electronics","P001", E168="MRO","P002", E168="Office Supplies","P003", E168="Packaging","P004", E168="Raw Materials","P005")</f>
        <v>P001</v>
      </c>
    </row>
    <row r="169" spans="1:14" x14ac:dyDescent="0.2">
      <c r="A169" s="4" t="s">
        <v>183</v>
      </c>
      <c r="B169" s="5" t="s">
        <v>6</v>
      </c>
      <c r="C169" s="6">
        <v>44670</v>
      </c>
      <c r="D169" s="6">
        <v>44675</v>
      </c>
      <c r="E169" s="5" t="s">
        <v>10</v>
      </c>
      <c r="F169" s="5" t="s">
        <v>7</v>
      </c>
      <c r="G169" s="5">
        <v>733</v>
      </c>
      <c r="H169" s="5">
        <v>23.59</v>
      </c>
      <c r="I169" s="5">
        <v>22.85</v>
      </c>
      <c r="J169" s="5">
        <v>92</v>
      </c>
      <c r="K169" s="5" t="s">
        <v>4</v>
      </c>
      <c r="L169" s="5" t="str">
        <f t="shared" si="2"/>
        <v>Delivered</v>
      </c>
      <c r="M169" t="str" cm="1">
        <f t="array" ref="M169">_xlfn.IFS(B169="Alpha_Inc","S001", B169="Delta_Logistics","S002", B169="Gamma_Co","S003", B169="Beta_Supplies","S004", B169="Epsilon_Group","S005")</f>
        <v>S002</v>
      </c>
      <c r="N169" t="str" cm="1">
        <f t="array" ref="N169">_xlfn.IFS(E169="Electronics","P001", E169="MRO","P002", E169="Office Supplies","P003", E169="Packaging","P004", E169="Raw Materials","P005")</f>
        <v>P002</v>
      </c>
    </row>
    <row r="170" spans="1:14" x14ac:dyDescent="0.2">
      <c r="A170" s="1" t="s">
        <v>184</v>
      </c>
      <c r="B170" s="2" t="s">
        <v>12</v>
      </c>
      <c r="C170" s="3">
        <v>45202</v>
      </c>
      <c r="D170" s="3">
        <v>45204</v>
      </c>
      <c r="E170" s="2" t="s">
        <v>15</v>
      </c>
      <c r="F170" s="2" t="s">
        <v>7</v>
      </c>
      <c r="G170" s="2">
        <v>1945</v>
      </c>
      <c r="H170" s="2">
        <v>103.2</v>
      </c>
      <c r="I170" s="2">
        <v>88.56</v>
      </c>
      <c r="J170" s="2">
        <v>0</v>
      </c>
      <c r="K170" s="2" t="s">
        <v>4</v>
      </c>
      <c r="L170" s="2" t="str">
        <f t="shared" si="2"/>
        <v>Delivered</v>
      </c>
      <c r="M170" t="str" cm="1">
        <f t="array" ref="M170">_xlfn.IFS(B170="Alpha_Inc","S001", B170="Delta_Logistics","S002", B170="Gamma_Co","S003", B170="Beta_Supplies","S004", B170="Epsilon_Group","S005")</f>
        <v>S004</v>
      </c>
      <c r="N170" t="str" cm="1">
        <f t="array" ref="N170">_xlfn.IFS(E170="Electronics","P001", E170="MRO","P002", E170="Office Supplies","P003", E170="Packaging","P004", E170="Raw Materials","P005")</f>
        <v>P005</v>
      </c>
    </row>
    <row r="171" spans="1:14" x14ac:dyDescent="0.2">
      <c r="A171" s="4" t="s">
        <v>185</v>
      </c>
      <c r="B171" s="5" t="s">
        <v>9</v>
      </c>
      <c r="C171" s="6">
        <v>44867</v>
      </c>
      <c r="D171" s="6">
        <v>44886</v>
      </c>
      <c r="E171" s="5" t="s">
        <v>15</v>
      </c>
      <c r="F171" s="5" t="s">
        <v>7</v>
      </c>
      <c r="G171" s="5">
        <v>775</v>
      </c>
      <c r="H171" s="5">
        <v>57</v>
      </c>
      <c r="I171" s="5">
        <v>49.14</v>
      </c>
      <c r="J171" s="5">
        <v>48</v>
      </c>
      <c r="K171" s="5" t="s">
        <v>4</v>
      </c>
      <c r="L171" s="5" t="str">
        <f t="shared" si="2"/>
        <v>Delivered</v>
      </c>
      <c r="M171" t="str" cm="1">
        <f t="array" ref="M171">_xlfn.IFS(B171="Alpha_Inc","S001", B171="Delta_Logistics","S002", B171="Gamma_Co","S003", B171="Beta_Supplies","S004", B171="Epsilon_Group","S005")</f>
        <v>S003</v>
      </c>
      <c r="N171" t="str" cm="1">
        <f t="array" ref="N171">_xlfn.IFS(E171="Electronics","P001", E171="MRO","P002", E171="Office Supplies","P003", E171="Packaging","P004", E171="Raw Materials","P005")</f>
        <v>P005</v>
      </c>
    </row>
    <row r="172" spans="1:14" x14ac:dyDescent="0.2">
      <c r="A172" s="1" t="s">
        <v>186</v>
      </c>
      <c r="B172" s="2" t="s">
        <v>6</v>
      </c>
      <c r="C172" s="3">
        <v>45216</v>
      </c>
      <c r="D172" s="3">
        <v>45220</v>
      </c>
      <c r="E172" s="2" t="s">
        <v>13</v>
      </c>
      <c r="F172" s="2" t="s">
        <v>7</v>
      </c>
      <c r="G172" s="2">
        <v>1620</v>
      </c>
      <c r="H172" s="2">
        <v>36.729999999999997</v>
      </c>
      <c r="I172" s="2">
        <v>33.450000000000003</v>
      </c>
      <c r="J172" s="2">
        <v>235</v>
      </c>
      <c r="K172" s="2" t="s">
        <v>16</v>
      </c>
      <c r="L172" s="2" t="str">
        <f t="shared" si="2"/>
        <v>Delivered</v>
      </c>
      <c r="M172" t="str" cm="1">
        <f t="array" ref="M172">_xlfn.IFS(B172="Alpha_Inc","S001", B172="Delta_Logistics","S002", B172="Gamma_Co","S003", B172="Beta_Supplies","S004", B172="Epsilon_Group","S005")</f>
        <v>S002</v>
      </c>
      <c r="N172" t="str" cm="1">
        <f t="array" ref="N172">_xlfn.IFS(E172="Electronics","P001", E172="MRO","P002", E172="Office Supplies","P003", E172="Packaging","P004", E172="Raw Materials","P005")</f>
        <v>P004</v>
      </c>
    </row>
    <row r="173" spans="1:14" x14ac:dyDescent="0.2">
      <c r="A173" s="4" t="s">
        <v>187</v>
      </c>
      <c r="B173" s="5" t="s">
        <v>12</v>
      </c>
      <c r="C173" s="6">
        <v>45081</v>
      </c>
      <c r="D173" s="6">
        <v>45096</v>
      </c>
      <c r="E173" s="5" t="s">
        <v>2</v>
      </c>
      <c r="F173" s="5" t="s">
        <v>7</v>
      </c>
      <c r="G173" s="5">
        <v>1010</v>
      </c>
      <c r="H173" s="5">
        <v>55.68</v>
      </c>
      <c r="I173" s="5">
        <v>50.86</v>
      </c>
      <c r="J173" s="5">
        <v>0</v>
      </c>
      <c r="K173" s="5" t="s">
        <v>4</v>
      </c>
      <c r="L173" s="5" t="str">
        <f t="shared" si="2"/>
        <v>Delivered</v>
      </c>
      <c r="M173" t="str" cm="1">
        <f t="array" ref="M173">_xlfn.IFS(B173="Alpha_Inc","S001", B173="Delta_Logistics","S002", B173="Gamma_Co","S003", B173="Beta_Supplies","S004", B173="Epsilon_Group","S005")</f>
        <v>S004</v>
      </c>
      <c r="N173" t="str" cm="1">
        <f t="array" ref="N173">_xlfn.IFS(E173="Electronics","P001", E173="MRO","P002", E173="Office Supplies","P003", E173="Packaging","P004", E173="Raw Materials","P005")</f>
        <v>P003</v>
      </c>
    </row>
    <row r="174" spans="1:14" x14ac:dyDescent="0.2">
      <c r="A174" s="1" t="s">
        <v>188</v>
      </c>
      <c r="B174" s="2" t="s">
        <v>18</v>
      </c>
      <c r="C174" s="3">
        <v>45185</v>
      </c>
      <c r="D174" s="3">
        <v>45200</v>
      </c>
      <c r="E174" s="2" t="s">
        <v>2</v>
      </c>
      <c r="F174" s="2" t="s">
        <v>7</v>
      </c>
      <c r="G174" s="2">
        <v>1812</v>
      </c>
      <c r="H174" s="2">
        <v>108.02</v>
      </c>
      <c r="I174" s="2">
        <v>101.02</v>
      </c>
      <c r="J174" s="2">
        <v>51</v>
      </c>
      <c r="K174" s="2" t="s">
        <v>4</v>
      </c>
      <c r="L174" s="2" t="str">
        <f t="shared" si="2"/>
        <v>Delivered</v>
      </c>
      <c r="M174" t="str" cm="1">
        <f t="array" ref="M174">_xlfn.IFS(B174="Alpha_Inc","S001", B174="Delta_Logistics","S002", B174="Gamma_Co","S003", B174="Beta_Supplies","S004", B174="Epsilon_Group","S005")</f>
        <v>S005</v>
      </c>
      <c r="N174" t="str" cm="1">
        <f t="array" ref="N174">_xlfn.IFS(E174="Electronics","P001", E174="MRO","P002", E174="Office Supplies","P003", E174="Packaging","P004", E174="Raw Materials","P005")</f>
        <v>P003</v>
      </c>
    </row>
    <row r="175" spans="1:14" x14ac:dyDescent="0.2">
      <c r="A175" s="4" t="s">
        <v>189</v>
      </c>
      <c r="B175" s="5" t="s">
        <v>6</v>
      </c>
      <c r="C175" s="6">
        <v>44765</v>
      </c>
      <c r="D175" s="6">
        <v>44770</v>
      </c>
      <c r="E175" s="5" t="s">
        <v>2</v>
      </c>
      <c r="F175" s="5" t="s">
        <v>7</v>
      </c>
      <c r="G175" s="5">
        <v>662</v>
      </c>
      <c r="H175" s="5">
        <v>55.97</v>
      </c>
      <c r="I175" s="5">
        <v>50</v>
      </c>
      <c r="J175" s="5">
        <v>100</v>
      </c>
      <c r="K175" s="5" t="s">
        <v>4</v>
      </c>
      <c r="L175" s="5" t="str">
        <f t="shared" si="2"/>
        <v>Delivered</v>
      </c>
      <c r="M175" t="str" cm="1">
        <f t="array" ref="M175">_xlfn.IFS(B175="Alpha_Inc","S001", B175="Delta_Logistics","S002", B175="Gamma_Co","S003", B175="Beta_Supplies","S004", B175="Epsilon_Group","S005")</f>
        <v>S002</v>
      </c>
      <c r="N175" t="str" cm="1">
        <f t="array" ref="N175">_xlfn.IFS(E175="Electronics","P001", E175="MRO","P002", E175="Office Supplies","P003", E175="Packaging","P004", E175="Raw Materials","P005")</f>
        <v>P003</v>
      </c>
    </row>
    <row r="176" spans="1:14" x14ac:dyDescent="0.2">
      <c r="A176" s="1" t="s">
        <v>190</v>
      </c>
      <c r="B176" s="2" t="s">
        <v>12</v>
      </c>
      <c r="C176" s="3">
        <v>44718</v>
      </c>
      <c r="D176" s="3">
        <v>44723</v>
      </c>
      <c r="E176" s="2" t="s">
        <v>2</v>
      </c>
      <c r="F176" s="2" t="s">
        <v>24</v>
      </c>
      <c r="G176" s="2">
        <v>1535</v>
      </c>
      <c r="H176" s="2">
        <v>40.58</v>
      </c>
      <c r="I176" s="2">
        <v>38.71</v>
      </c>
      <c r="J176" s="2">
        <v>165</v>
      </c>
      <c r="K176" s="2" t="s">
        <v>4</v>
      </c>
      <c r="L176" s="2" t="str">
        <f t="shared" si="2"/>
        <v>Pending</v>
      </c>
      <c r="M176" t="str" cm="1">
        <f t="array" ref="M176">_xlfn.IFS(B176="Alpha_Inc","S001", B176="Delta_Logistics","S002", B176="Gamma_Co","S003", B176="Beta_Supplies","S004", B176="Epsilon_Group","S005")</f>
        <v>S004</v>
      </c>
      <c r="N176" t="str" cm="1">
        <f t="array" ref="N176">_xlfn.IFS(E176="Electronics","P001", E176="MRO","P002", E176="Office Supplies","P003", E176="Packaging","P004", E176="Raw Materials","P005")</f>
        <v>P003</v>
      </c>
    </row>
    <row r="177" spans="1:14" x14ac:dyDescent="0.2">
      <c r="A177" s="4" t="s">
        <v>191</v>
      </c>
      <c r="B177" s="5" t="s">
        <v>12</v>
      </c>
      <c r="C177" s="6">
        <v>44944</v>
      </c>
      <c r="D177" s="6">
        <v>44953</v>
      </c>
      <c r="E177" s="5" t="s">
        <v>15</v>
      </c>
      <c r="F177" s="5" t="s">
        <v>7</v>
      </c>
      <c r="G177" s="5">
        <v>692</v>
      </c>
      <c r="H177" s="5">
        <v>71.03</v>
      </c>
      <c r="I177" s="5">
        <v>67.739999999999995</v>
      </c>
      <c r="J177" s="5">
        <v>70</v>
      </c>
      <c r="K177" s="5" t="s">
        <v>4</v>
      </c>
      <c r="L177" s="5" t="str">
        <f t="shared" si="2"/>
        <v>Delivered</v>
      </c>
      <c r="M177" t="str" cm="1">
        <f t="array" ref="M177">_xlfn.IFS(B177="Alpha_Inc","S001", B177="Delta_Logistics","S002", B177="Gamma_Co","S003", B177="Beta_Supplies","S004", B177="Epsilon_Group","S005")</f>
        <v>S004</v>
      </c>
      <c r="N177" t="str" cm="1">
        <f t="array" ref="N177">_xlfn.IFS(E177="Electronics","P001", E177="MRO","P002", E177="Office Supplies","P003", E177="Packaging","P004", E177="Raw Materials","P005")</f>
        <v>P005</v>
      </c>
    </row>
    <row r="178" spans="1:14" x14ac:dyDescent="0.2">
      <c r="A178" s="1" t="s">
        <v>192</v>
      </c>
      <c r="B178" s="2" t="s">
        <v>9</v>
      </c>
      <c r="C178" s="3">
        <v>44727</v>
      </c>
      <c r="D178" s="3">
        <v>44740</v>
      </c>
      <c r="E178" s="2" t="s">
        <v>10</v>
      </c>
      <c r="F178" s="2" t="s">
        <v>7</v>
      </c>
      <c r="G178" s="2">
        <v>1842</v>
      </c>
      <c r="H178" s="2">
        <v>32.4</v>
      </c>
      <c r="I178" s="2">
        <v>28.08</v>
      </c>
      <c r="J178" s="2">
        <v>96</v>
      </c>
      <c r="K178" s="2" t="s">
        <v>4</v>
      </c>
      <c r="L178" s="2" t="str">
        <f t="shared" si="2"/>
        <v>Delivered</v>
      </c>
      <c r="M178" t="str" cm="1">
        <f t="array" ref="M178">_xlfn.IFS(B178="Alpha_Inc","S001", B178="Delta_Logistics","S002", B178="Gamma_Co","S003", B178="Beta_Supplies","S004", B178="Epsilon_Group","S005")</f>
        <v>S003</v>
      </c>
      <c r="N178" t="str" cm="1">
        <f t="array" ref="N178">_xlfn.IFS(E178="Electronics","P001", E178="MRO","P002", E178="Office Supplies","P003", E178="Packaging","P004", E178="Raw Materials","P005")</f>
        <v>P002</v>
      </c>
    </row>
    <row r="179" spans="1:14" x14ac:dyDescent="0.2">
      <c r="A179" s="4" t="s">
        <v>193</v>
      </c>
      <c r="B179" s="5" t="s">
        <v>12</v>
      </c>
      <c r="C179" s="6">
        <v>45114</v>
      </c>
      <c r="D179" s="6">
        <v>45125</v>
      </c>
      <c r="E179" s="5" t="s">
        <v>2</v>
      </c>
      <c r="F179" s="5" t="s">
        <v>3</v>
      </c>
      <c r="G179" s="5">
        <v>1078</v>
      </c>
      <c r="H179" s="5">
        <v>18.34</v>
      </c>
      <c r="I179" s="5">
        <v>17.41</v>
      </c>
      <c r="J179" s="5">
        <v>102</v>
      </c>
      <c r="K179" s="5" t="s">
        <v>4</v>
      </c>
      <c r="L179" s="5" t="str">
        <f t="shared" si="2"/>
        <v>Cancelled</v>
      </c>
      <c r="M179" t="str" cm="1">
        <f t="array" ref="M179">_xlfn.IFS(B179="Alpha_Inc","S001", B179="Delta_Logistics","S002", B179="Gamma_Co","S003", B179="Beta_Supplies","S004", B179="Epsilon_Group","S005")</f>
        <v>S004</v>
      </c>
      <c r="N179" t="str" cm="1">
        <f t="array" ref="N179">_xlfn.IFS(E179="Electronics","P001", E179="MRO","P002", E179="Office Supplies","P003", E179="Packaging","P004", E179="Raw Materials","P005")</f>
        <v>P003</v>
      </c>
    </row>
    <row r="180" spans="1:14" x14ac:dyDescent="0.2">
      <c r="A180" s="1" t="s">
        <v>194</v>
      </c>
      <c r="B180" s="2" t="s">
        <v>6</v>
      </c>
      <c r="C180" s="3">
        <v>45105</v>
      </c>
      <c r="D180" s="3">
        <v>45123</v>
      </c>
      <c r="E180" s="2" t="s">
        <v>13</v>
      </c>
      <c r="F180" s="2" t="s">
        <v>7</v>
      </c>
      <c r="G180" s="2">
        <v>1291</v>
      </c>
      <c r="H180" s="2">
        <v>23.44</v>
      </c>
      <c r="I180" s="2">
        <v>22.23</v>
      </c>
      <c r="J180" s="2">
        <v>0</v>
      </c>
      <c r="K180" s="2" t="s">
        <v>4</v>
      </c>
      <c r="L180" s="2" t="str">
        <f t="shared" si="2"/>
        <v>Delivered</v>
      </c>
      <c r="M180" t="str" cm="1">
        <f t="array" ref="M180">_xlfn.IFS(B180="Alpha_Inc","S001", B180="Delta_Logistics","S002", B180="Gamma_Co","S003", B180="Beta_Supplies","S004", B180="Epsilon_Group","S005")</f>
        <v>S002</v>
      </c>
      <c r="N180" t="str" cm="1">
        <f t="array" ref="N180">_xlfn.IFS(E180="Electronics","P001", E180="MRO","P002", E180="Office Supplies","P003", E180="Packaging","P004", E180="Raw Materials","P005")</f>
        <v>P004</v>
      </c>
    </row>
    <row r="181" spans="1:14" x14ac:dyDescent="0.2">
      <c r="A181" s="4" t="s">
        <v>195</v>
      </c>
      <c r="B181" s="5" t="s">
        <v>1</v>
      </c>
      <c r="C181" s="6">
        <v>44562</v>
      </c>
      <c r="D181" s="6">
        <v>44573</v>
      </c>
      <c r="E181" s="5" t="s">
        <v>28</v>
      </c>
      <c r="F181" s="5" t="s">
        <v>7</v>
      </c>
      <c r="G181" s="5">
        <v>552</v>
      </c>
      <c r="H181" s="5">
        <v>21.52</v>
      </c>
      <c r="I181" s="5">
        <v>18.79</v>
      </c>
      <c r="J181" s="5">
        <v>13</v>
      </c>
      <c r="K181" s="5" t="s">
        <v>4</v>
      </c>
      <c r="L181" s="5" t="str">
        <f t="shared" si="2"/>
        <v>Delivered</v>
      </c>
      <c r="M181" t="str" cm="1">
        <f t="array" ref="M181">_xlfn.IFS(B181="Alpha_Inc","S001", B181="Delta_Logistics","S002", B181="Gamma_Co","S003", B181="Beta_Supplies","S004", B181="Epsilon_Group","S005")</f>
        <v>S001</v>
      </c>
      <c r="N181" t="str" cm="1">
        <f t="array" ref="N181">_xlfn.IFS(E181="Electronics","P001", E181="MRO","P002", E181="Office Supplies","P003", E181="Packaging","P004", E181="Raw Materials","P005")</f>
        <v>P001</v>
      </c>
    </row>
    <row r="182" spans="1:14" x14ac:dyDescent="0.2">
      <c r="A182" s="1" t="s">
        <v>196</v>
      </c>
      <c r="B182" s="2" t="s">
        <v>18</v>
      </c>
      <c r="C182" s="3">
        <v>45175</v>
      </c>
      <c r="D182" s="3">
        <v>45191</v>
      </c>
      <c r="E182" s="2" t="s">
        <v>28</v>
      </c>
      <c r="F182" s="2" t="s">
        <v>7</v>
      </c>
      <c r="G182" s="2">
        <v>816</v>
      </c>
      <c r="H182" s="2">
        <v>26.04</v>
      </c>
      <c r="I182" s="2">
        <v>25.61</v>
      </c>
      <c r="J182" s="2">
        <v>28</v>
      </c>
      <c r="K182" s="2" t="s">
        <v>4</v>
      </c>
      <c r="L182" s="2" t="str">
        <f t="shared" si="2"/>
        <v>Delivered</v>
      </c>
      <c r="M182" t="str" cm="1">
        <f t="array" ref="M182">_xlfn.IFS(B182="Alpha_Inc","S001", B182="Delta_Logistics","S002", B182="Gamma_Co","S003", B182="Beta_Supplies","S004", B182="Epsilon_Group","S005")</f>
        <v>S005</v>
      </c>
      <c r="N182" t="str" cm="1">
        <f t="array" ref="N182">_xlfn.IFS(E182="Electronics","P001", E182="MRO","P002", E182="Office Supplies","P003", E182="Packaging","P004", E182="Raw Materials","P005")</f>
        <v>P001</v>
      </c>
    </row>
    <row r="183" spans="1:14" x14ac:dyDescent="0.2">
      <c r="A183" s="4" t="s">
        <v>197</v>
      </c>
      <c r="B183" s="5" t="s">
        <v>6</v>
      </c>
      <c r="C183" s="6">
        <v>44893</v>
      </c>
      <c r="D183" s="6">
        <v>44895</v>
      </c>
      <c r="E183" s="5" t="s">
        <v>13</v>
      </c>
      <c r="F183" s="5" t="s">
        <v>7</v>
      </c>
      <c r="G183" s="5">
        <v>447</v>
      </c>
      <c r="H183" s="5">
        <v>23.62</v>
      </c>
      <c r="I183" s="5">
        <v>21.81</v>
      </c>
      <c r="J183" s="5">
        <v>50</v>
      </c>
      <c r="K183" s="5" t="s">
        <v>4</v>
      </c>
      <c r="L183" s="5" t="str">
        <f t="shared" si="2"/>
        <v>Delivered</v>
      </c>
      <c r="M183" t="str" cm="1">
        <f t="array" ref="M183">_xlfn.IFS(B183="Alpha_Inc","S001", B183="Delta_Logistics","S002", B183="Gamma_Co","S003", B183="Beta_Supplies","S004", B183="Epsilon_Group","S005")</f>
        <v>S002</v>
      </c>
      <c r="N183" t="str" cm="1">
        <f t="array" ref="N183">_xlfn.IFS(E183="Electronics","P001", E183="MRO","P002", E183="Office Supplies","P003", E183="Packaging","P004", E183="Raw Materials","P005")</f>
        <v>P004</v>
      </c>
    </row>
    <row r="184" spans="1:14" x14ac:dyDescent="0.2">
      <c r="A184" s="1" t="s">
        <v>198</v>
      </c>
      <c r="B184" s="2" t="s">
        <v>6</v>
      </c>
      <c r="C184" s="3">
        <v>45062</v>
      </c>
      <c r="D184" s="3">
        <v>45070</v>
      </c>
      <c r="E184" s="2" t="s">
        <v>13</v>
      </c>
      <c r="F184" s="2" t="s">
        <v>22</v>
      </c>
      <c r="G184" s="2">
        <v>920</v>
      </c>
      <c r="H184" s="2">
        <v>73.09</v>
      </c>
      <c r="I184" s="2">
        <v>70.14</v>
      </c>
      <c r="J184" s="2">
        <v>0</v>
      </c>
      <c r="K184" s="2" t="s">
        <v>4</v>
      </c>
      <c r="L184" s="2" t="str">
        <f t="shared" si="2"/>
        <v>Partially Delivered</v>
      </c>
      <c r="M184" t="str" cm="1">
        <f t="array" ref="M184">_xlfn.IFS(B184="Alpha_Inc","S001", B184="Delta_Logistics","S002", B184="Gamma_Co","S003", B184="Beta_Supplies","S004", B184="Epsilon_Group","S005")</f>
        <v>S002</v>
      </c>
      <c r="N184" t="str" cm="1">
        <f t="array" ref="N184">_xlfn.IFS(E184="Electronics","P001", E184="MRO","P002", E184="Office Supplies","P003", E184="Packaging","P004", E184="Raw Materials","P005")</f>
        <v>P004</v>
      </c>
    </row>
    <row r="185" spans="1:14" x14ac:dyDescent="0.2">
      <c r="A185" s="4" t="s">
        <v>199</v>
      </c>
      <c r="B185" s="5" t="s">
        <v>18</v>
      </c>
      <c r="C185" s="6">
        <v>44581</v>
      </c>
      <c r="D185" s="6">
        <v>44591</v>
      </c>
      <c r="E185" s="5" t="s">
        <v>13</v>
      </c>
      <c r="F185" s="5" t="s">
        <v>22</v>
      </c>
      <c r="G185" s="5">
        <v>844</v>
      </c>
      <c r="H185" s="5">
        <v>26.37</v>
      </c>
      <c r="I185" s="5">
        <v>25.08</v>
      </c>
      <c r="J185" s="5">
        <v>38</v>
      </c>
      <c r="K185" s="5" t="s">
        <v>4</v>
      </c>
      <c r="L185" s="5" t="str">
        <f t="shared" si="2"/>
        <v>Partially Delivered</v>
      </c>
      <c r="M185" t="str" cm="1">
        <f t="array" ref="M185">_xlfn.IFS(B185="Alpha_Inc","S001", B185="Delta_Logistics","S002", B185="Gamma_Co","S003", B185="Beta_Supplies","S004", B185="Epsilon_Group","S005")</f>
        <v>S005</v>
      </c>
      <c r="N185" t="str" cm="1">
        <f t="array" ref="N185">_xlfn.IFS(E185="Electronics","P001", E185="MRO","P002", E185="Office Supplies","P003", E185="Packaging","P004", E185="Raw Materials","P005")</f>
        <v>P004</v>
      </c>
    </row>
    <row r="186" spans="1:14" x14ac:dyDescent="0.2">
      <c r="A186" s="1" t="s">
        <v>200</v>
      </c>
      <c r="B186" s="2" t="s">
        <v>18</v>
      </c>
      <c r="C186" s="3">
        <v>44676</v>
      </c>
      <c r="D186" s="3">
        <f>Table1[[#This Row],[Order_Date]]+14</f>
        <v>44690</v>
      </c>
      <c r="E186" s="2" t="s">
        <v>10</v>
      </c>
      <c r="F186" s="2" t="s">
        <v>7</v>
      </c>
      <c r="G186" s="2">
        <v>442</v>
      </c>
      <c r="H186" s="2">
        <v>41.73</v>
      </c>
      <c r="I186" s="2">
        <v>36.450000000000003</v>
      </c>
      <c r="J186" s="2">
        <v>15</v>
      </c>
      <c r="K186" s="2" t="s">
        <v>4</v>
      </c>
      <c r="L186" s="2" t="str">
        <f t="shared" si="2"/>
        <v>Delivered</v>
      </c>
      <c r="M186" t="str" cm="1">
        <f t="array" ref="M186">_xlfn.IFS(B186="Alpha_Inc","S001", B186="Delta_Logistics","S002", B186="Gamma_Co","S003", B186="Beta_Supplies","S004", B186="Epsilon_Group","S005")</f>
        <v>S005</v>
      </c>
      <c r="N186" t="str" cm="1">
        <f t="array" ref="N186">_xlfn.IFS(E186="Electronics","P001", E186="MRO","P002", E186="Office Supplies","P003", E186="Packaging","P004", E186="Raw Materials","P005")</f>
        <v>P002</v>
      </c>
    </row>
    <row r="187" spans="1:14" x14ac:dyDescent="0.2">
      <c r="A187" s="4" t="s">
        <v>201</v>
      </c>
      <c r="B187" s="5" t="s">
        <v>12</v>
      </c>
      <c r="C187" s="6">
        <v>44933</v>
      </c>
      <c r="D187" s="6">
        <v>44947</v>
      </c>
      <c r="E187" s="5" t="s">
        <v>28</v>
      </c>
      <c r="F187" s="5" t="s">
        <v>3</v>
      </c>
      <c r="G187" s="5">
        <v>256</v>
      </c>
      <c r="H187" s="5">
        <v>96.15</v>
      </c>
      <c r="I187" s="5">
        <v>83.44</v>
      </c>
      <c r="J187" s="5">
        <v>26</v>
      </c>
      <c r="K187" s="5" t="s">
        <v>4</v>
      </c>
      <c r="L187" s="5" t="str">
        <f t="shared" si="2"/>
        <v>Cancelled</v>
      </c>
      <c r="M187" t="str" cm="1">
        <f t="array" ref="M187">_xlfn.IFS(B187="Alpha_Inc","S001", B187="Delta_Logistics","S002", B187="Gamma_Co","S003", B187="Beta_Supplies","S004", B187="Epsilon_Group","S005")</f>
        <v>S004</v>
      </c>
      <c r="N187" t="str" cm="1">
        <f t="array" ref="N187">_xlfn.IFS(E187="Electronics","P001", E187="MRO","P002", E187="Office Supplies","P003", E187="Packaging","P004", E187="Raw Materials","P005")</f>
        <v>P001</v>
      </c>
    </row>
    <row r="188" spans="1:14" x14ac:dyDescent="0.2">
      <c r="A188" s="1" t="s">
        <v>202</v>
      </c>
      <c r="B188" s="2" t="s">
        <v>6</v>
      </c>
      <c r="C188" s="3">
        <v>44876</v>
      </c>
      <c r="D188" s="3">
        <f>Table1[[#This Row],[Order_Date]]+14</f>
        <v>44890</v>
      </c>
      <c r="E188" s="2" t="s">
        <v>10</v>
      </c>
      <c r="F188" s="2" t="s">
        <v>22</v>
      </c>
      <c r="G188" s="2">
        <v>1088</v>
      </c>
      <c r="H188" s="2">
        <v>55.29</v>
      </c>
      <c r="I188" s="2">
        <v>53.04</v>
      </c>
      <c r="J188" s="2">
        <v>161</v>
      </c>
      <c r="K188" s="2" t="s">
        <v>16</v>
      </c>
      <c r="L188" s="2" t="str">
        <f t="shared" si="2"/>
        <v>Partially Delivered</v>
      </c>
      <c r="M188" t="str" cm="1">
        <f t="array" ref="M188">_xlfn.IFS(B188="Alpha_Inc","S001", B188="Delta_Logistics","S002", B188="Gamma_Co","S003", B188="Beta_Supplies","S004", B188="Epsilon_Group","S005")</f>
        <v>S002</v>
      </c>
      <c r="N188" t="str" cm="1">
        <f t="array" ref="N188">_xlfn.IFS(E188="Electronics","P001", E188="MRO","P002", E188="Office Supplies","P003", E188="Packaging","P004", E188="Raw Materials","P005")</f>
        <v>P002</v>
      </c>
    </row>
    <row r="189" spans="1:14" x14ac:dyDescent="0.2">
      <c r="A189" s="4" t="s">
        <v>203</v>
      </c>
      <c r="B189" s="5" t="s">
        <v>12</v>
      </c>
      <c r="C189" s="6">
        <v>44807</v>
      </c>
      <c r="D189" s="6">
        <v>44811</v>
      </c>
      <c r="E189" s="5" t="s">
        <v>2</v>
      </c>
      <c r="F189" s="5" t="s">
        <v>7</v>
      </c>
      <c r="G189" s="5">
        <v>1931</v>
      </c>
      <c r="H189" s="5">
        <v>72.88</v>
      </c>
      <c r="I189" s="5">
        <v>64.69</v>
      </c>
      <c r="J189" s="5">
        <v>187</v>
      </c>
      <c r="K189" s="5" t="s">
        <v>4</v>
      </c>
      <c r="L189" s="5" t="str">
        <f t="shared" si="2"/>
        <v>Delivered</v>
      </c>
      <c r="M189" t="str" cm="1">
        <f t="array" ref="M189">_xlfn.IFS(B189="Alpha_Inc","S001", B189="Delta_Logistics","S002", B189="Gamma_Co","S003", B189="Beta_Supplies","S004", B189="Epsilon_Group","S005")</f>
        <v>S004</v>
      </c>
      <c r="N189" t="str" cm="1">
        <f t="array" ref="N189">_xlfn.IFS(E189="Electronics","P001", E189="MRO","P002", E189="Office Supplies","P003", E189="Packaging","P004", E189="Raw Materials","P005")</f>
        <v>P003</v>
      </c>
    </row>
    <row r="190" spans="1:14" x14ac:dyDescent="0.2">
      <c r="A190" s="1" t="s">
        <v>204</v>
      </c>
      <c r="B190" s="2" t="s">
        <v>9</v>
      </c>
      <c r="C190" s="3">
        <v>44621</v>
      </c>
      <c r="D190" s="3">
        <v>44631</v>
      </c>
      <c r="E190" s="2" t="s">
        <v>28</v>
      </c>
      <c r="F190" s="2" t="s">
        <v>7</v>
      </c>
      <c r="G190" s="2">
        <v>1627</v>
      </c>
      <c r="H190" s="2">
        <v>25.76</v>
      </c>
      <c r="I190" s="2">
        <v>25.09</v>
      </c>
      <c r="J190" s="2">
        <v>74</v>
      </c>
      <c r="K190" s="2" t="s">
        <v>4</v>
      </c>
      <c r="L190" s="2" t="str">
        <f t="shared" si="2"/>
        <v>Delivered</v>
      </c>
      <c r="M190" t="str" cm="1">
        <f t="array" ref="M190">_xlfn.IFS(B190="Alpha_Inc","S001", B190="Delta_Logistics","S002", B190="Gamma_Co","S003", B190="Beta_Supplies","S004", B190="Epsilon_Group","S005")</f>
        <v>S003</v>
      </c>
      <c r="N190" t="str" cm="1">
        <f t="array" ref="N190">_xlfn.IFS(E190="Electronics","P001", E190="MRO","P002", E190="Office Supplies","P003", E190="Packaging","P004", E190="Raw Materials","P005")</f>
        <v>P001</v>
      </c>
    </row>
    <row r="191" spans="1:14" x14ac:dyDescent="0.2">
      <c r="A191" s="4" t="s">
        <v>205</v>
      </c>
      <c r="B191" s="5" t="s">
        <v>12</v>
      </c>
      <c r="C191" s="6">
        <v>44808</v>
      </c>
      <c r="D191" s="6">
        <f>Table1[[#This Row],[Order_Date]]+14</f>
        <v>44822</v>
      </c>
      <c r="E191" s="5" t="s">
        <v>13</v>
      </c>
      <c r="F191" s="5" t="s">
        <v>7</v>
      </c>
      <c r="G191" s="5">
        <v>941</v>
      </c>
      <c r="H191" s="5">
        <v>28.4</v>
      </c>
      <c r="I191" s="5">
        <v>27.21</v>
      </c>
      <c r="J191" s="5">
        <v>0</v>
      </c>
      <c r="K191" s="5" t="s">
        <v>16</v>
      </c>
      <c r="L191" s="5" t="str">
        <f t="shared" si="2"/>
        <v>Delivered</v>
      </c>
      <c r="M191" t="str" cm="1">
        <f t="array" ref="M191">_xlfn.IFS(B191="Alpha_Inc","S001", B191="Delta_Logistics","S002", B191="Gamma_Co","S003", B191="Beta_Supplies","S004", B191="Epsilon_Group","S005")</f>
        <v>S004</v>
      </c>
      <c r="N191" t="str" cm="1">
        <f t="array" ref="N191">_xlfn.IFS(E191="Electronics","P001", E191="MRO","P002", E191="Office Supplies","P003", E191="Packaging","P004", E191="Raw Materials","P005")</f>
        <v>P004</v>
      </c>
    </row>
    <row r="192" spans="1:14" x14ac:dyDescent="0.2">
      <c r="A192" s="1" t="s">
        <v>206</v>
      </c>
      <c r="B192" s="2" t="s">
        <v>9</v>
      </c>
      <c r="C192" s="3">
        <v>45142</v>
      </c>
      <c r="D192" s="3">
        <v>45144</v>
      </c>
      <c r="E192" s="2" t="s">
        <v>10</v>
      </c>
      <c r="F192" s="2" t="s">
        <v>7</v>
      </c>
      <c r="G192" s="2">
        <v>1534</v>
      </c>
      <c r="H192" s="2">
        <v>14.98</v>
      </c>
      <c r="I192" s="2">
        <v>12.79</v>
      </c>
      <c r="J192" s="2">
        <v>0</v>
      </c>
      <c r="K192" s="2" t="s">
        <v>4</v>
      </c>
      <c r="L192" s="2" t="str">
        <f t="shared" si="2"/>
        <v>Delivered</v>
      </c>
      <c r="M192" t="str" cm="1">
        <f t="array" ref="M192">_xlfn.IFS(B192="Alpha_Inc","S001", B192="Delta_Logistics","S002", B192="Gamma_Co","S003", B192="Beta_Supplies","S004", B192="Epsilon_Group","S005")</f>
        <v>S003</v>
      </c>
      <c r="N192" t="str" cm="1">
        <f t="array" ref="N192">_xlfn.IFS(E192="Electronics","P001", E192="MRO","P002", E192="Office Supplies","P003", E192="Packaging","P004", E192="Raw Materials","P005")</f>
        <v>P002</v>
      </c>
    </row>
    <row r="193" spans="1:14" x14ac:dyDescent="0.2">
      <c r="A193" s="4" t="s">
        <v>207</v>
      </c>
      <c r="B193" s="5" t="s">
        <v>1</v>
      </c>
      <c r="C193" s="6">
        <v>44642</v>
      </c>
      <c r="D193" s="6">
        <v>44654</v>
      </c>
      <c r="E193" s="5" t="s">
        <v>15</v>
      </c>
      <c r="F193" s="5" t="s">
        <v>7</v>
      </c>
      <c r="G193" s="5">
        <v>1764</v>
      </c>
      <c r="H193" s="5">
        <v>25.46</v>
      </c>
      <c r="I193" s="5">
        <v>24.52</v>
      </c>
      <c r="J193" s="5">
        <v>46</v>
      </c>
      <c r="K193" s="5" t="s">
        <v>4</v>
      </c>
      <c r="L193" s="5" t="str">
        <f t="shared" si="2"/>
        <v>Delivered</v>
      </c>
      <c r="M193" t="str" cm="1">
        <f t="array" ref="M193">_xlfn.IFS(B193="Alpha_Inc","S001", B193="Delta_Logistics","S002", B193="Gamma_Co","S003", B193="Beta_Supplies","S004", B193="Epsilon_Group","S005")</f>
        <v>S001</v>
      </c>
      <c r="N193" t="str" cm="1">
        <f t="array" ref="N193">_xlfn.IFS(E193="Electronics","P001", E193="MRO","P002", E193="Office Supplies","P003", E193="Packaging","P004", E193="Raw Materials","P005")</f>
        <v>P005</v>
      </c>
    </row>
    <row r="194" spans="1:14" x14ac:dyDescent="0.2">
      <c r="A194" s="1" t="s">
        <v>208</v>
      </c>
      <c r="B194" s="2" t="s">
        <v>6</v>
      </c>
      <c r="C194" s="3">
        <v>44649</v>
      </c>
      <c r="D194" s="3">
        <v>44657</v>
      </c>
      <c r="E194" s="2" t="s">
        <v>28</v>
      </c>
      <c r="F194" s="2" t="s">
        <v>7</v>
      </c>
      <c r="G194" s="2">
        <v>1648</v>
      </c>
      <c r="H194" s="2">
        <v>35.42</v>
      </c>
      <c r="I194" s="2">
        <v>31.46</v>
      </c>
      <c r="J194" s="2">
        <v>0</v>
      </c>
      <c r="K194" s="2" t="s">
        <v>16</v>
      </c>
      <c r="L194" s="2" t="str">
        <f t="shared" ref="L194:L257" si="3">IF(F194="Delivered", IF(E194="","Date Missing","Delivered"), F194)</f>
        <v>Delivered</v>
      </c>
      <c r="M194" t="str" cm="1">
        <f t="array" ref="M194">_xlfn.IFS(B194="Alpha_Inc","S001", B194="Delta_Logistics","S002", B194="Gamma_Co","S003", B194="Beta_Supplies","S004", B194="Epsilon_Group","S005")</f>
        <v>S002</v>
      </c>
      <c r="N194" t="str" cm="1">
        <f t="array" ref="N194">_xlfn.IFS(E194="Electronics","P001", E194="MRO","P002", E194="Office Supplies","P003", E194="Packaging","P004", E194="Raw Materials","P005")</f>
        <v>P001</v>
      </c>
    </row>
    <row r="195" spans="1:14" x14ac:dyDescent="0.2">
      <c r="A195" s="4" t="s">
        <v>209</v>
      </c>
      <c r="B195" s="5" t="s">
        <v>9</v>
      </c>
      <c r="C195" s="6">
        <v>45059</v>
      </c>
      <c r="D195" s="6">
        <v>45078</v>
      </c>
      <c r="E195" s="5" t="s">
        <v>13</v>
      </c>
      <c r="F195" s="5" t="s">
        <v>7</v>
      </c>
      <c r="G195" s="5">
        <v>913</v>
      </c>
      <c r="H195" s="5">
        <v>28.01</v>
      </c>
      <c r="I195" s="5">
        <v>24.06</v>
      </c>
      <c r="J195" s="5">
        <v>53</v>
      </c>
      <c r="K195" s="5" t="s">
        <v>4</v>
      </c>
      <c r="L195" s="5" t="str">
        <f t="shared" si="3"/>
        <v>Delivered</v>
      </c>
      <c r="M195" t="str" cm="1">
        <f t="array" ref="M195">_xlfn.IFS(B195="Alpha_Inc","S001", B195="Delta_Logistics","S002", B195="Gamma_Co","S003", B195="Beta_Supplies","S004", B195="Epsilon_Group","S005")</f>
        <v>S003</v>
      </c>
      <c r="N195" t="str" cm="1">
        <f t="array" ref="N195">_xlfn.IFS(E195="Electronics","P001", E195="MRO","P002", E195="Office Supplies","P003", E195="Packaging","P004", E195="Raw Materials","P005")</f>
        <v>P004</v>
      </c>
    </row>
    <row r="196" spans="1:14" x14ac:dyDescent="0.2">
      <c r="A196" s="1" t="s">
        <v>210</v>
      </c>
      <c r="B196" s="2" t="s">
        <v>1</v>
      </c>
      <c r="C196" s="3">
        <v>44632</v>
      </c>
      <c r="D196" s="3">
        <v>44638</v>
      </c>
      <c r="E196" s="2" t="s">
        <v>13</v>
      </c>
      <c r="F196" s="2" t="s">
        <v>3</v>
      </c>
      <c r="G196" s="2">
        <v>792</v>
      </c>
      <c r="H196" s="2">
        <v>18.16</v>
      </c>
      <c r="I196" s="2">
        <v>17.25</v>
      </c>
      <c r="J196" s="2">
        <v>17</v>
      </c>
      <c r="K196" s="2" t="s">
        <v>4</v>
      </c>
      <c r="L196" s="2" t="str">
        <f t="shared" si="3"/>
        <v>Cancelled</v>
      </c>
      <c r="M196" t="str" cm="1">
        <f t="array" ref="M196">_xlfn.IFS(B196="Alpha_Inc","S001", B196="Delta_Logistics","S002", B196="Gamma_Co","S003", B196="Beta_Supplies","S004", B196="Epsilon_Group","S005")</f>
        <v>S001</v>
      </c>
      <c r="N196" t="str" cm="1">
        <f t="array" ref="N196">_xlfn.IFS(E196="Electronics","P001", E196="MRO","P002", E196="Office Supplies","P003", E196="Packaging","P004", E196="Raw Materials","P005")</f>
        <v>P004</v>
      </c>
    </row>
    <row r="197" spans="1:14" x14ac:dyDescent="0.2">
      <c r="A197" s="4" t="s">
        <v>211</v>
      </c>
      <c r="B197" s="5" t="s">
        <v>18</v>
      </c>
      <c r="C197" s="6">
        <v>45107</v>
      </c>
      <c r="D197" s="6">
        <v>45110</v>
      </c>
      <c r="E197" s="5" t="s">
        <v>2</v>
      </c>
      <c r="F197" s="5" t="s">
        <v>22</v>
      </c>
      <c r="G197" s="5">
        <v>1314</v>
      </c>
      <c r="H197" s="5">
        <v>22.63</v>
      </c>
      <c r="I197" s="5">
        <v>21.06</v>
      </c>
      <c r="J197" s="5">
        <v>44</v>
      </c>
      <c r="K197" s="5" t="s">
        <v>4</v>
      </c>
      <c r="L197" s="5" t="str">
        <f t="shared" si="3"/>
        <v>Partially Delivered</v>
      </c>
      <c r="M197" t="str" cm="1">
        <f t="array" ref="M197">_xlfn.IFS(B197="Alpha_Inc","S001", B197="Delta_Logistics","S002", B197="Gamma_Co","S003", B197="Beta_Supplies","S004", B197="Epsilon_Group","S005")</f>
        <v>S005</v>
      </c>
      <c r="N197" t="str" cm="1">
        <f t="array" ref="N197">_xlfn.IFS(E197="Electronics","P001", E197="MRO","P002", E197="Office Supplies","P003", E197="Packaging","P004", E197="Raw Materials","P005")</f>
        <v>P003</v>
      </c>
    </row>
    <row r="198" spans="1:14" x14ac:dyDescent="0.2">
      <c r="A198" s="1" t="s">
        <v>212</v>
      </c>
      <c r="B198" s="2" t="s">
        <v>12</v>
      </c>
      <c r="C198" s="3">
        <v>44690</v>
      </c>
      <c r="D198" s="3">
        <v>44703</v>
      </c>
      <c r="E198" s="2" t="s">
        <v>10</v>
      </c>
      <c r="F198" s="2" t="s">
        <v>7</v>
      </c>
      <c r="G198" s="2">
        <v>613</v>
      </c>
      <c r="H198" s="2">
        <v>52.5</v>
      </c>
      <c r="I198" s="2">
        <v>45.19</v>
      </c>
      <c r="J198" s="2">
        <v>70</v>
      </c>
      <c r="K198" s="2" t="s">
        <v>4</v>
      </c>
      <c r="L198" s="2" t="str">
        <f t="shared" si="3"/>
        <v>Delivered</v>
      </c>
      <c r="M198" t="str" cm="1">
        <f t="array" ref="M198">_xlfn.IFS(B198="Alpha_Inc","S001", B198="Delta_Logistics","S002", B198="Gamma_Co","S003", B198="Beta_Supplies","S004", B198="Epsilon_Group","S005")</f>
        <v>S004</v>
      </c>
      <c r="N198" t="str" cm="1">
        <f t="array" ref="N198">_xlfn.IFS(E198="Electronics","P001", E198="MRO","P002", E198="Office Supplies","P003", E198="Packaging","P004", E198="Raw Materials","P005")</f>
        <v>P002</v>
      </c>
    </row>
    <row r="199" spans="1:14" x14ac:dyDescent="0.2">
      <c r="A199" s="4" t="s">
        <v>213</v>
      </c>
      <c r="B199" s="5" t="s">
        <v>1</v>
      </c>
      <c r="C199" s="6">
        <v>44693</v>
      </c>
      <c r="D199" s="6">
        <v>44701</v>
      </c>
      <c r="E199" s="5" t="s">
        <v>2</v>
      </c>
      <c r="F199" s="5" t="s">
        <v>7</v>
      </c>
      <c r="G199" s="5">
        <v>1070</v>
      </c>
      <c r="H199" s="5">
        <v>29.14</v>
      </c>
      <c r="I199" s="5">
        <v>26.63</v>
      </c>
      <c r="J199" s="5">
        <v>24</v>
      </c>
      <c r="K199" s="5" t="s">
        <v>4</v>
      </c>
      <c r="L199" s="5" t="str">
        <f t="shared" si="3"/>
        <v>Delivered</v>
      </c>
      <c r="M199" t="str" cm="1">
        <f t="array" ref="M199">_xlfn.IFS(B199="Alpha_Inc","S001", B199="Delta_Logistics","S002", B199="Gamma_Co","S003", B199="Beta_Supplies","S004", B199="Epsilon_Group","S005")</f>
        <v>S001</v>
      </c>
      <c r="N199" t="str" cm="1">
        <f t="array" ref="N199">_xlfn.IFS(E199="Electronics","P001", E199="MRO","P002", E199="Office Supplies","P003", E199="Packaging","P004", E199="Raw Materials","P005")</f>
        <v>P003</v>
      </c>
    </row>
    <row r="200" spans="1:14" x14ac:dyDescent="0.2">
      <c r="A200" s="1" t="s">
        <v>214</v>
      </c>
      <c r="B200" s="2" t="s">
        <v>9</v>
      </c>
      <c r="C200" s="3">
        <v>45237</v>
      </c>
      <c r="D200" s="3">
        <v>45256</v>
      </c>
      <c r="E200" s="2" t="s">
        <v>15</v>
      </c>
      <c r="F200" s="2" t="s">
        <v>22</v>
      </c>
      <c r="G200" s="2">
        <v>145</v>
      </c>
      <c r="H200" s="2">
        <v>47.49</v>
      </c>
      <c r="I200" s="2">
        <v>42.76</v>
      </c>
      <c r="J200" s="2">
        <v>6</v>
      </c>
      <c r="K200" s="2" t="s">
        <v>4</v>
      </c>
      <c r="L200" s="2" t="str">
        <f t="shared" si="3"/>
        <v>Partially Delivered</v>
      </c>
      <c r="M200" t="str" cm="1">
        <f t="array" ref="M200">_xlfn.IFS(B200="Alpha_Inc","S001", B200="Delta_Logistics","S002", B200="Gamma_Co","S003", B200="Beta_Supplies","S004", B200="Epsilon_Group","S005")</f>
        <v>S003</v>
      </c>
      <c r="N200" t="str" cm="1">
        <f t="array" ref="N200">_xlfn.IFS(E200="Electronics","P001", E200="MRO","P002", E200="Office Supplies","P003", E200="Packaging","P004", E200="Raw Materials","P005")</f>
        <v>P005</v>
      </c>
    </row>
    <row r="201" spans="1:14" x14ac:dyDescent="0.2">
      <c r="A201" s="4" t="s">
        <v>215</v>
      </c>
      <c r="B201" s="5" t="s">
        <v>6</v>
      </c>
      <c r="C201" s="6">
        <v>45048</v>
      </c>
      <c r="D201" s="6">
        <v>45063</v>
      </c>
      <c r="E201" s="5" t="s">
        <v>15</v>
      </c>
      <c r="F201" s="5" t="s">
        <v>7</v>
      </c>
      <c r="G201" s="5">
        <v>1973</v>
      </c>
      <c r="H201" s="5">
        <v>59.73</v>
      </c>
      <c r="I201" s="5">
        <v>54.95</v>
      </c>
      <c r="J201" s="5">
        <v>291</v>
      </c>
      <c r="K201" s="5" t="s">
        <v>4</v>
      </c>
      <c r="L201" s="5" t="str">
        <f t="shared" si="3"/>
        <v>Delivered</v>
      </c>
      <c r="M201" t="str" cm="1">
        <f t="array" ref="M201">_xlfn.IFS(B201="Alpha_Inc","S001", B201="Delta_Logistics","S002", B201="Gamma_Co","S003", B201="Beta_Supplies","S004", B201="Epsilon_Group","S005")</f>
        <v>S002</v>
      </c>
      <c r="N201" t="str" cm="1">
        <f t="array" ref="N201">_xlfn.IFS(E201="Electronics","P001", E201="MRO","P002", E201="Office Supplies","P003", E201="Packaging","P004", E201="Raw Materials","P005")</f>
        <v>P005</v>
      </c>
    </row>
    <row r="202" spans="1:14" x14ac:dyDescent="0.2">
      <c r="A202" s="1" t="s">
        <v>216</v>
      </c>
      <c r="B202" s="2" t="s">
        <v>18</v>
      </c>
      <c r="C202" s="3">
        <v>45124</v>
      </c>
      <c r="D202" s="3">
        <v>45139</v>
      </c>
      <c r="E202" s="2" t="s">
        <v>2</v>
      </c>
      <c r="F202" s="2" t="s">
        <v>7</v>
      </c>
      <c r="G202" s="2">
        <v>1807</v>
      </c>
      <c r="H202" s="2">
        <v>78.63</v>
      </c>
      <c r="I202" s="2">
        <v>73.08</v>
      </c>
      <c r="J202" s="2">
        <v>100</v>
      </c>
      <c r="K202" s="2" t="s">
        <v>4</v>
      </c>
      <c r="L202" s="2" t="str">
        <f t="shared" si="3"/>
        <v>Delivered</v>
      </c>
      <c r="M202" t="str" cm="1">
        <f t="array" ref="M202">_xlfn.IFS(B202="Alpha_Inc","S001", B202="Delta_Logistics","S002", B202="Gamma_Co","S003", B202="Beta_Supplies","S004", B202="Epsilon_Group","S005")</f>
        <v>S005</v>
      </c>
      <c r="N202" t="str" cm="1">
        <f t="array" ref="N202">_xlfn.IFS(E202="Electronics","P001", E202="MRO","P002", E202="Office Supplies","P003", E202="Packaging","P004", E202="Raw Materials","P005")</f>
        <v>P003</v>
      </c>
    </row>
    <row r="203" spans="1:14" x14ac:dyDescent="0.2">
      <c r="A203" s="4" t="s">
        <v>217</v>
      </c>
      <c r="B203" s="5" t="s">
        <v>18</v>
      </c>
      <c r="C203" s="6">
        <v>44731</v>
      </c>
      <c r="D203" s="6">
        <v>44732</v>
      </c>
      <c r="E203" s="5" t="s">
        <v>28</v>
      </c>
      <c r="F203" s="5" t="s">
        <v>7</v>
      </c>
      <c r="G203" s="5">
        <v>534</v>
      </c>
      <c r="H203" s="5">
        <v>13.88</v>
      </c>
      <c r="I203" s="5">
        <v>12.51</v>
      </c>
      <c r="J203" s="5">
        <v>100</v>
      </c>
      <c r="K203" s="5" t="s">
        <v>4</v>
      </c>
      <c r="L203" s="5" t="str">
        <f t="shared" si="3"/>
        <v>Delivered</v>
      </c>
      <c r="M203" t="str" cm="1">
        <f t="array" ref="M203">_xlfn.IFS(B203="Alpha_Inc","S001", B203="Delta_Logistics","S002", B203="Gamma_Co","S003", B203="Beta_Supplies","S004", B203="Epsilon_Group","S005")</f>
        <v>S005</v>
      </c>
      <c r="N203" t="str" cm="1">
        <f t="array" ref="N203">_xlfn.IFS(E203="Electronics","P001", E203="MRO","P002", E203="Office Supplies","P003", E203="Packaging","P004", E203="Raw Materials","P005")</f>
        <v>P001</v>
      </c>
    </row>
    <row r="204" spans="1:14" x14ac:dyDescent="0.2">
      <c r="A204" s="1" t="s">
        <v>218</v>
      </c>
      <c r="B204" s="2" t="s">
        <v>1</v>
      </c>
      <c r="C204" s="3">
        <v>44833</v>
      </c>
      <c r="D204" s="3">
        <v>44848</v>
      </c>
      <c r="E204" s="2" t="s">
        <v>28</v>
      </c>
      <c r="F204" s="2" t="s">
        <v>7</v>
      </c>
      <c r="G204" s="2">
        <v>1480</v>
      </c>
      <c r="H204" s="2">
        <v>85.22</v>
      </c>
      <c r="I204" s="2">
        <v>75.48</v>
      </c>
      <c r="J204" s="2">
        <v>100</v>
      </c>
      <c r="K204" s="2" t="s">
        <v>4</v>
      </c>
      <c r="L204" s="2" t="str">
        <f t="shared" si="3"/>
        <v>Delivered</v>
      </c>
      <c r="M204" t="str" cm="1">
        <f t="array" ref="M204">_xlfn.IFS(B204="Alpha_Inc","S001", B204="Delta_Logistics","S002", B204="Gamma_Co","S003", B204="Beta_Supplies","S004", B204="Epsilon_Group","S005")</f>
        <v>S001</v>
      </c>
      <c r="N204" t="str" cm="1">
        <f t="array" ref="N204">_xlfn.IFS(E204="Electronics","P001", E204="MRO","P002", E204="Office Supplies","P003", E204="Packaging","P004", E204="Raw Materials","P005")</f>
        <v>P001</v>
      </c>
    </row>
    <row r="205" spans="1:14" x14ac:dyDescent="0.2">
      <c r="A205" s="4" t="s">
        <v>219</v>
      </c>
      <c r="B205" s="5" t="s">
        <v>1</v>
      </c>
      <c r="C205" s="6">
        <v>45102</v>
      </c>
      <c r="D205" s="6">
        <f>Table1[[#This Row],[Order_Date]]+14</f>
        <v>45116</v>
      </c>
      <c r="E205" s="5" t="s">
        <v>2</v>
      </c>
      <c r="F205" s="5" t="s">
        <v>7</v>
      </c>
      <c r="G205" s="5">
        <v>280</v>
      </c>
      <c r="H205" s="5">
        <v>72.16</v>
      </c>
      <c r="I205" s="5">
        <v>62.38</v>
      </c>
      <c r="J205" s="5">
        <v>100</v>
      </c>
      <c r="K205" s="5" t="s">
        <v>4</v>
      </c>
      <c r="L205" s="5" t="str">
        <f t="shared" si="3"/>
        <v>Delivered</v>
      </c>
      <c r="M205" t="str" cm="1">
        <f t="array" ref="M205">_xlfn.IFS(B205="Alpha_Inc","S001", B205="Delta_Logistics","S002", B205="Gamma_Co","S003", B205="Beta_Supplies","S004", B205="Epsilon_Group","S005")</f>
        <v>S001</v>
      </c>
      <c r="N205" t="str" cm="1">
        <f t="array" ref="N205">_xlfn.IFS(E205="Electronics","P001", E205="MRO","P002", E205="Office Supplies","P003", E205="Packaging","P004", E205="Raw Materials","P005")</f>
        <v>P003</v>
      </c>
    </row>
    <row r="206" spans="1:14" x14ac:dyDescent="0.2">
      <c r="A206" s="1" t="s">
        <v>220</v>
      </c>
      <c r="B206" s="2" t="s">
        <v>12</v>
      </c>
      <c r="C206" s="3">
        <v>45183</v>
      </c>
      <c r="D206" s="3">
        <v>45189</v>
      </c>
      <c r="E206" s="2" t="s">
        <v>2</v>
      </c>
      <c r="F206" s="2" t="s">
        <v>3</v>
      </c>
      <c r="G206" s="2">
        <v>798</v>
      </c>
      <c r="H206" s="2">
        <v>19.09</v>
      </c>
      <c r="I206" s="2">
        <v>17.760000000000002</v>
      </c>
      <c r="J206" s="2">
        <v>100</v>
      </c>
      <c r="K206" s="2" t="s">
        <v>4</v>
      </c>
      <c r="L206" s="2" t="str">
        <f t="shared" si="3"/>
        <v>Cancelled</v>
      </c>
      <c r="M206" t="str" cm="1">
        <f t="array" ref="M206">_xlfn.IFS(B206="Alpha_Inc","S001", B206="Delta_Logistics","S002", B206="Gamma_Co","S003", B206="Beta_Supplies","S004", B206="Epsilon_Group","S005")</f>
        <v>S004</v>
      </c>
      <c r="N206" t="str" cm="1">
        <f t="array" ref="N206">_xlfn.IFS(E206="Electronics","P001", E206="MRO","P002", E206="Office Supplies","P003", E206="Packaging","P004", E206="Raw Materials","P005")</f>
        <v>P003</v>
      </c>
    </row>
    <row r="207" spans="1:14" x14ac:dyDescent="0.2">
      <c r="A207" s="4" t="s">
        <v>221</v>
      </c>
      <c r="B207" s="5" t="s">
        <v>18</v>
      </c>
      <c r="C207" s="6">
        <v>44995</v>
      </c>
      <c r="D207" s="6">
        <v>45007</v>
      </c>
      <c r="E207" s="5" t="s">
        <v>28</v>
      </c>
      <c r="F207" s="5" t="s">
        <v>7</v>
      </c>
      <c r="G207" s="5">
        <v>1728</v>
      </c>
      <c r="H207" s="5">
        <v>94.83</v>
      </c>
      <c r="I207" s="5">
        <v>90.2</v>
      </c>
      <c r="J207" s="5">
        <v>100</v>
      </c>
      <c r="K207" s="5" t="s">
        <v>4</v>
      </c>
      <c r="L207" s="5" t="str">
        <f t="shared" si="3"/>
        <v>Delivered</v>
      </c>
      <c r="M207" t="str" cm="1">
        <f t="array" ref="M207">_xlfn.IFS(B207="Alpha_Inc","S001", B207="Delta_Logistics","S002", B207="Gamma_Co","S003", B207="Beta_Supplies","S004", B207="Epsilon_Group","S005")</f>
        <v>S005</v>
      </c>
      <c r="N207" t="str" cm="1">
        <f t="array" ref="N207">_xlfn.IFS(E207="Electronics","P001", E207="MRO","P002", E207="Office Supplies","P003", E207="Packaging","P004", E207="Raw Materials","P005")</f>
        <v>P001</v>
      </c>
    </row>
    <row r="208" spans="1:14" x14ac:dyDescent="0.2">
      <c r="A208" s="1" t="s">
        <v>222</v>
      </c>
      <c r="B208" s="2" t="s">
        <v>18</v>
      </c>
      <c r="C208" s="3">
        <v>44778</v>
      </c>
      <c r="D208" s="3">
        <f>Table1[[#This Row],[Order_Date]]+14</f>
        <v>44792</v>
      </c>
      <c r="E208" s="2" t="s">
        <v>10</v>
      </c>
      <c r="F208" s="2" t="s">
        <v>7</v>
      </c>
      <c r="G208" s="2">
        <v>1244</v>
      </c>
      <c r="H208" s="2">
        <v>96.13</v>
      </c>
      <c r="I208" s="2">
        <v>84.78</v>
      </c>
      <c r="J208" s="2">
        <v>43</v>
      </c>
      <c r="K208" s="2" t="s">
        <v>4</v>
      </c>
      <c r="L208" s="2" t="str">
        <f t="shared" si="3"/>
        <v>Delivered</v>
      </c>
      <c r="M208" t="str" cm="1">
        <f t="array" ref="M208">_xlfn.IFS(B208="Alpha_Inc","S001", B208="Delta_Logistics","S002", B208="Gamma_Co","S003", B208="Beta_Supplies","S004", B208="Epsilon_Group","S005")</f>
        <v>S005</v>
      </c>
      <c r="N208" t="str" cm="1">
        <f t="array" ref="N208">_xlfn.IFS(E208="Electronics","P001", E208="MRO","P002", E208="Office Supplies","P003", E208="Packaging","P004", E208="Raw Materials","P005")</f>
        <v>P002</v>
      </c>
    </row>
    <row r="209" spans="1:14" x14ac:dyDescent="0.2">
      <c r="A209" s="4" t="s">
        <v>223</v>
      </c>
      <c r="B209" s="5" t="s">
        <v>12</v>
      </c>
      <c r="C209" s="6">
        <v>45114</v>
      </c>
      <c r="D209" s="6">
        <v>45128</v>
      </c>
      <c r="E209" s="5" t="s">
        <v>2</v>
      </c>
      <c r="F209" s="5" t="s">
        <v>7</v>
      </c>
      <c r="G209" s="5">
        <v>590</v>
      </c>
      <c r="H209" s="5">
        <v>16.89</v>
      </c>
      <c r="I209" s="5">
        <v>15.56</v>
      </c>
      <c r="J209" s="5">
        <v>46</v>
      </c>
      <c r="K209" s="5" t="s">
        <v>16</v>
      </c>
      <c r="L209" s="5" t="str">
        <f t="shared" si="3"/>
        <v>Delivered</v>
      </c>
      <c r="M209" t="str" cm="1">
        <f t="array" ref="M209">_xlfn.IFS(B209="Alpha_Inc","S001", B209="Delta_Logistics","S002", B209="Gamma_Co","S003", B209="Beta_Supplies","S004", B209="Epsilon_Group","S005")</f>
        <v>S004</v>
      </c>
      <c r="N209" t="str" cm="1">
        <f t="array" ref="N209">_xlfn.IFS(E209="Electronics","P001", E209="MRO","P002", E209="Office Supplies","P003", E209="Packaging","P004", E209="Raw Materials","P005")</f>
        <v>P003</v>
      </c>
    </row>
    <row r="210" spans="1:14" x14ac:dyDescent="0.2">
      <c r="A210" s="1" t="s">
        <v>224</v>
      </c>
      <c r="B210" s="2" t="s">
        <v>6</v>
      </c>
      <c r="C210" s="3">
        <v>45268</v>
      </c>
      <c r="D210" s="3">
        <v>45283</v>
      </c>
      <c r="E210" s="2" t="s">
        <v>13</v>
      </c>
      <c r="F210" s="2" t="s">
        <v>7</v>
      </c>
      <c r="G210" s="2">
        <v>1109</v>
      </c>
      <c r="H210" s="2">
        <v>38.93</v>
      </c>
      <c r="I210" s="2">
        <v>33.33</v>
      </c>
      <c r="J210" s="2">
        <v>152</v>
      </c>
      <c r="K210" s="2" t="s">
        <v>4</v>
      </c>
      <c r="L210" s="2" t="str">
        <f t="shared" si="3"/>
        <v>Delivered</v>
      </c>
      <c r="M210" t="str" cm="1">
        <f t="array" ref="M210">_xlfn.IFS(B210="Alpha_Inc","S001", B210="Delta_Logistics","S002", B210="Gamma_Co","S003", B210="Beta_Supplies","S004", B210="Epsilon_Group","S005")</f>
        <v>S002</v>
      </c>
      <c r="N210" t="str" cm="1">
        <f t="array" ref="N210">_xlfn.IFS(E210="Electronics","P001", E210="MRO","P002", E210="Office Supplies","P003", E210="Packaging","P004", E210="Raw Materials","P005")</f>
        <v>P004</v>
      </c>
    </row>
    <row r="211" spans="1:14" x14ac:dyDescent="0.2">
      <c r="A211" s="4" t="s">
        <v>225</v>
      </c>
      <c r="B211" s="5" t="s">
        <v>12</v>
      </c>
      <c r="C211" s="6">
        <v>44767</v>
      </c>
      <c r="D211" s="6">
        <v>44774</v>
      </c>
      <c r="E211" s="5" t="s">
        <v>10</v>
      </c>
      <c r="F211" s="5" t="s">
        <v>7</v>
      </c>
      <c r="G211" s="5">
        <v>574</v>
      </c>
      <c r="H211" s="5">
        <v>85.03</v>
      </c>
      <c r="I211" s="5">
        <v>82.55</v>
      </c>
      <c r="J211" s="5">
        <v>54</v>
      </c>
      <c r="K211" s="5" t="s">
        <v>4</v>
      </c>
      <c r="L211" s="5" t="str">
        <f t="shared" si="3"/>
        <v>Delivered</v>
      </c>
      <c r="M211" t="str" cm="1">
        <f t="array" ref="M211">_xlfn.IFS(B211="Alpha_Inc","S001", B211="Delta_Logistics","S002", B211="Gamma_Co","S003", B211="Beta_Supplies","S004", B211="Epsilon_Group","S005")</f>
        <v>S004</v>
      </c>
      <c r="N211" t="str" cm="1">
        <f t="array" ref="N211">_xlfn.IFS(E211="Electronics","P001", E211="MRO","P002", E211="Office Supplies","P003", E211="Packaging","P004", E211="Raw Materials","P005")</f>
        <v>P002</v>
      </c>
    </row>
    <row r="212" spans="1:14" x14ac:dyDescent="0.2">
      <c r="A212" s="1" t="s">
        <v>226</v>
      </c>
      <c r="B212" s="2" t="s">
        <v>9</v>
      </c>
      <c r="C212" s="3">
        <v>45292</v>
      </c>
      <c r="D212" s="3">
        <f>Table1[[#This Row],[Order_Date]]+14</f>
        <v>45306</v>
      </c>
      <c r="E212" s="2" t="s">
        <v>2</v>
      </c>
      <c r="F212" s="2" t="s">
        <v>7</v>
      </c>
      <c r="G212" s="2">
        <v>1233</v>
      </c>
      <c r="H212" s="2">
        <v>86.62</v>
      </c>
      <c r="I212" s="2">
        <v>76.59</v>
      </c>
      <c r="J212" s="2">
        <v>65</v>
      </c>
      <c r="K212" s="2" t="s">
        <v>4</v>
      </c>
      <c r="L212" s="2" t="str">
        <f t="shared" si="3"/>
        <v>Delivered</v>
      </c>
      <c r="M212" t="str" cm="1">
        <f t="array" ref="M212">_xlfn.IFS(B212="Alpha_Inc","S001", B212="Delta_Logistics","S002", B212="Gamma_Co","S003", B212="Beta_Supplies","S004", B212="Epsilon_Group","S005")</f>
        <v>S003</v>
      </c>
      <c r="N212" t="str" cm="1">
        <f t="array" ref="N212">_xlfn.IFS(E212="Electronics","P001", E212="MRO","P002", E212="Office Supplies","P003", E212="Packaging","P004", E212="Raw Materials","P005")</f>
        <v>P003</v>
      </c>
    </row>
    <row r="213" spans="1:14" x14ac:dyDescent="0.2">
      <c r="A213" s="4" t="s">
        <v>227</v>
      </c>
      <c r="B213" s="5" t="s">
        <v>9</v>
      </c>
      <c r="C213" s="6">
        <v>44881</v>
      </c>
      <c r="D213" s="6">
        <v>44885</v>
      </c>
      <c r="E213" s="5" t="s">
        <v>13</v>
      </c>
      <c r="F213" s="5" t="s">
        <v>7</v>
      </c>
      <c r="G213" s="5">
        <v>1912</v>
      </c>
      <c r="H213" s="5">
        <v>27.94</v>
      </c>
      <c r="I213" s="5">
        <v>25.59</v>
      </c>
      <c r="J213" s="5">
        <v>83</v>
      </c>
      <c r="K213" s="5" t="s">
        <v>16</v>
      </c>
      <c r="L213" s="5" t="str">
        <f t="shared" si="3"/>
        <v>Delivered</v>
      </c>
      <c r="M213" t="str" cm="1">
        <f t="array" ref="M213">_xlfn.IFS(B213="Alpha_Inc","S001", B213="Delta_Logistics","S002", B213="Gamma_Co","S003", B213="Beta_Supplies","S004", B213="Epsilon_Group","S005")</f>
        <v>S003</v>
      </c>
      <c r="N213" t="str" cm="1">
        <f t="array" ref="N213">_xlfn.IFS(E213="Electronics","P001", E213="MRO","P002", E213="Office Supplies","P003", E213="Packaging","P004", E213="Raw Materials","P005")</f>
        <v>P004</v>
      </c>
    </row>
    <row r="214" spans="1:14" x14ac:dyDescent="0.2">
      <c r="A214" s="1" t="s">
        <v>228</v>
      </c>
      <c r="B214" s="2" t="s">
        <v>1</v>
      </c>
      <c r="C214" s="3">
        <v>44970</v>
      </c>
      <c r="D214" s="3">
        <v>44989</v>
      </c>
      <c r="E214" s="2" t="s">
        <v>13</v>
      </c>
      <c r="F214" s="2" t="s">
        <v>7</v>
      </c>
      <c r="G214" s="2">
        <v>1772</v>
      </c>
      <c r="H214" s="2">
        <v>30.72</v>
      </c>
      <c r="I214" s="2">
        <v>27.76</v>
      </c>
      <c r="J214" s="2">
        <v>46</v>
      </c>
      <c r="K214" s="2" t="s">
        <v>16</v>
      </c>
      <c r="L214" s="2" t="str">
        <f t="shared" si="3"/>
        <v>Delivered</v>
      </c>
      <c r="M214" t="str" cm="1">
        <f t="array" ref="M214">_xlfn.IFS(B214="Alpha_Inc","S001", B214="Delta_Logistics","S002", B214="Gamma_Co","S003", B214="Beta_Supplies","S004", B214="Epsilon_Group","S005")</f>
        <v>S001</v>
      </c>
      <c r="N214" t="str" cm="1">
        <f t="array" ref="N214">_xlfn.IFS(E214="Electronics","P001", E214="MRO","P002", E214="Office Supplies","P003", E214="Packaging","P004", E214="Raw Materials","P005")</f>
        <v>P004</v>
      </c>
    </row>
    <row r="215" spans="1:14" x14ac:dyDescent="0.2">
      <c r="A215" s="4" t="s">
        <v>229</v>
      </c>
      <c r="B215" s="5" t="s">
        <v>12</v>
      </c>
      <c r="C215" s="6">
        <v>45249</v>
      </c>
      <c r="D215" s="6">
        <v>45259</v>
      </c>
      <c r="E215" s="5" t="s">
        <v>2</v>
      </c>
      <c r="F215" s="5" t="s">
        <v>7</v>
      </c>
      <c r="G215" s="5">
        <v>1316</v>
      </c>
      <c r="H215" s="5">
        <v>48.11</v>
      </c>
      <c r="I215" s="5">
        <v>41.9</v>
      </c>
      <c r="J215" s="5">
        <v>135</v>
      </c>
      <c r="K215" s="5" t="s">
        <v>4</v>
      </c>
      <c r="L215" s="5" t="str">
        <f t="shared" si="3"/>
        <v>Delivered</v>
      </c>
      <c r="M215" t="str" cm="1">
        <f t="array" ref="M215">_xlfn.IFS(B215="Alpha_Inc","S001", B215="Delta_Logistics","S002", B215="Gamma_Co","S003", B215="Beta_Supplies","S004", B215="Epsilon_Group","S005")</f>
        <v>S004</v>
      </c>
      <c r="N215" t="str" cm="1">
        <f t="array" ref="N215">_xlfn.IFS(E215="Electronics","P001", E215="MRO","P002", E215="Office Supplies","P003", E215="Packaging","P004", E215="Raw Materials","P005")</f>
        <v>P003</v>
      </c>
    </row>
    <row r="216" spans="1:14" x14ac:dyDescent="0.2">
      <c r="A216" s="1" t="s">
        <v>230</v>
      </c>
      <c r="B216" s="2" t="s">
        <v>12</v>
      </c>
      <c r="C216" s="3">
        <v>45227</v>
      </c>
      <c r="D216" s="3">
        <f>Table1[[#This Row],[Order_Date]]+14</f>
        <v>45241</v>
      </c>
      <c r="E216" s="2" t="s">
        <v>2</v>
      </c>
      <c r="F216" s="2" t="s">
        <v>7</v>
      </c>
      <c r="G216" s="2">
        <v>1159</v>
      </c>
      <c r="H216" s="2">
        <v>59.24</v>
      </c>
      <c r="I216" s="2">
        <v>58.08</v>
      </c>
      <c r="J216" s="2">
        <v>0</v>
      </c>
      <c r="K216" s="2" t="s">
        <v>4</v>
      </c>
      <c r="L216" s="2" t="str">
        <f t="shared" si="3"/>
        <v>Delivered</v>
      </c>
      <c r="M216" t="str" cm="1">
        <f t="array" ref="M216">_xlfn.IFS(B216="Alpha_Inc","S001", B216="Delta_Logistics","S002", B216="Gamma_Co","S003", B216="Beta_Supplies","S004", B216="Epsilon_Group","S005")</f>
        <v>S004</v>
      </c>
      <c r="N216" t="str" cm="1">
        <f t="array" ref="N216">_xlfn.IFS(E216="Electronics","P001", E216="MRO","P002", E216="Office Supplies","P003", E216="Packaging","P004", E216="Raw Materials","P005")</f>
        <v>P003</v>
      </c>
    </row>
    <row r="217" spans="1:14" x14ac:dyDescent="0.2">
      <c r="A217" s="4" t="s">
        <v>231</v>
      </c>
      <c r="B217" s="5" t="s">
        <v>1</v>
      </c>
      <c r="C217" s="6">
        <v>44944</v>
      </c>
      <c r="D217" s="6">
        <v>44957</v>
      </c>
      <c r="E217" s="5" t="s">
        <v>2</v>
      </c>
      <c r="F217" s="5" t="s">
        <v>7</v>
      </c>
      <c r="G217" s="5">
        <v>1869</v>
      </c>
      <c r="H217" s="5">
        <v>69.58</v>
      </c>
      <c r="I217" s="5">
        <v>67.5</v>
      </c>
      <c r="J217" s="5">
        <v>31</v>
      </c>
      <c r="K217" s="5" t="s">
        <v>4</v>
      </c>
      <c r="L217" s="5" t="str">
        <f t="shared" si="3"/>
        <v>Delivered</v>
      </c>
      <c r="M217" t="str" cm="1">
        <f t="array" ref="M217">_xlfn.IFS(B217="Alpha_Inc","S001", B217="Delta_Logistics","S002", B217="Gamma_Co","S003", B217="Beta_Supplies","S004", B217="Epsilon_Group","S005")</f>
        <v>S001</v>
      </c>
      <c r="N217" t="str" cm="1">
        <f t="array" ref="N217">_xlfn.IFS(E217="Electronics","P001", E217="MRO","P002", E217="Office Supplies","P003", E217="Packaging","P004", E217="Raw Materials","P005")</f>
        <v>P003</v>
      </c>
    </row>
    <row r="218" spans="1:14" x14ac:dyDescent="0.2">
      <c r="A218" s="1" t="s">
        <v>232</v>
      </c>
      <c r="B218" s="2" t="s">
        <v>6</v>
      </c>
      <c r="C218" s="3">
        <v>45010</v>
      </c>
      <c r="D218" s="3">
        <v>45029</v>
      </c>
      <c r="E218" s="2" t="s">
        <v>13</v>
      </c>
      <c r="F218" s="2" t="s">
        <v>7</v>
      </c>
      <c r="G218" s="2">
        <v>627</v>
      </c>
      <c r="H218" s="2">
        <v>46.23</v>
      </c>
      <c r="I218" s="2">
        <v>42.87</v>
      </c>
      <c r="J218" s="2">
        <v>0</v>
      </c>
      <c r="K218" s="2" t="s">
        <v>4</v>
      </c>
      <c r="L218" s="2" t="str">
        <f t="shared" si="3"/>
        <v>Delivered</v>
      </c>
      <c r="M218" t="str" cm="1">
        <f t="array" ref="M218">_xlfn.IFS(B218="Alpha_Inc","S001", B218="Delta_Logistics","S002", B218="Gamma_Co","S003", B218="Beta_Supplies","S004", B218="Epsilon_Group","S005")</f>
        <v>S002</v>
      </c>
      <c r="N218" t="str" cm="1">
        <f t="array" ref="N218">_xlfn.IFS(E218="Electronics","P001", E218="MRO","P002", E218="Office Supplies","P003", E218="Packaging","P004", E218="Raw Materials","P005")</f>
        <v>P004</v>
      </c>
    </row>
    <row r="219" spans="1:14" x14ac:dyDescent="0.2">
      <c r="A219" s="4" t="s">
        <v>233</v>
      </c>
      <c r="B219" s="5" t="s">
        <v>12</v>
      </c>
      <c r="C219" s="6">
        <v>45091</v>
      </c>
      <c r="D219" s="6">
        <v>45093</v>
      </c>
      <c r="E219" s="5" t="s">
        <v>15</v>
      </c>
      <c r="F219" s="5" t="s">
        <v>24</v>
      </c>
      <c r="G219" s="5">
        <v>731</v>
      </c>
      <c r="H219" s="5">
        <v>56.02</v>
      </c>
      <c r="I219" s="5">
        <v>54.78</v>
      </c>
      <c r="J219" s="5">
        <v>70</v>
      </c>
      <c r="K219" s="5" t="s">
        <v>16</v>
      </c>
      <c r="L219" s="5" t="str">
        <f t="shared" si="3"/>
        <v>Pending</v>
      </c>
      <c r="M219" t="str" cm="1">
        <f t="array" ref="M219">_xlfn.IFS(B219="Alpha_Inc","S001", B219="Delta_Logistics","S002", B219="Gamma_Co","S003", B219="Beta_Supplies","S004", B219="Epsilon_Group","S005")</f>
        <v>S004</v>
      </c>
      <c r="N219" t="str" cm="1">
        <f t="array" ref="N219">_xlfn.IFS(E219="Electronics","P001", E219="MRO","P002", E219="Office Supplies","P003", E219="Packaging","P004", E219="Raw Materials","P005")</f>
        <v>P005</v>
      </c>
    </row>
    <row r="220" spans="1:14" x14ac:dyDescent="0.2">
      <c r="A220" s="1" t="s">
        <v>234</v>
      </c>
      <c r="B220" s="2" t="s">
        <v>18</v>
      </c>
      <c r="C220" s="3">
        <v>45024</v>
      </c>
      <c r="D220" s="3">
        <f>Table1[[#This Row],[Order_Date]]+14</f>
        <v>45038</v>
      </c>
      <c r="E220" s="2" t="s">
        <v>2</v>
      </c>
      <c r="F220" s="2" t="s">
        <v>3</v>
      </c>
      <c r="G220" s="2">
        <v>606</v>
      </c>
      <c r="H220" s="2">
        <v>83.07</v>
      </c>
      <c r="I220" s="2">
        <v>79.22</v>
      </c>
      <c r="J220" s="2">
        <v>16</v>
      </c>
      <c r="K220" s="2" t="s">
        <v>4</v>
      </c>
      <c r="L220" s="2" t="str">
        <f t="shared" si="3"/>
        <v>Cancelled</v>
      </c>
      <c r="M220" t="str" cm="1">
        <f t="array" ref="M220">_xlfn.IFS(B220="Alpha_Inc","S001", B220="Delta_Logistics","S002", B220="Gamma_Co","S003", B220="Beta_Supplies","S004", B220="Epsilon_Group","S005")</f>
        <v>S005</v>
      </c>
      <c r="N220" t="str" cm="1">
        <f t="array" ref="N220">_xlfn.IFS(E220="Electronics","P001", E220="MRO","P002", E220="Office Supplies","P003", E220="Packaging","P004", E220="Raw Materials","P005")</f>
        <v>P003</v>
      </c>
    </row>
    <row r="221" spans="1:14" x14ac:dyDescent="0.2">
      <c r="A221" s="4" t="s">
        <v>235</v>
      </c>
      <c r="B221" s="5" t="s">
        <v>12</v>
      </c>
      <c r="C221" s="6">
        <v>44685</v>
      </c>
      <c r="D221" s="6">
        <v>44695</v>
      </c>
      <c r="E221" s="5" t="s">
        <v>2</v>
      </c>
      <c r="F221" s="5" t="s">
        <v>7</v>
      </c>
      <c r="G221" s="5">
        <v>1647</v>
      </c>
      <c r="H221" s="5">
        <v>13.57</v>
      </c>
      <c r="I221" s="5">
        <v>12.33</v>
      </c>
      <c r="J221" s="5">
        <v>157</v>
      </c>
      <c r="K221" s="5" t="s">
        <v>4</v>
      </c>
      <c r="L221" s="5" t="str">
        <f t="shared" si="3"/>
        <v>Delivered</v>
      </c>
      <c r="M221" t="str" cm="1">
        <f t="array" ref="M221">_xlfn.IFS(B221="Alpha_Inc","S001", B221="Delta_Logistics","S002", B221="Gamma_Co","S003", B221="Beta_Supplies","S004", B221="Epsilon_Group","S005")</f>
        <v>S004</v>
      </c>
      <c r="N221" t="str" cm="1">
        <f t="array" ref="N221">_xlfn.IFS(E221="Electronics","P001", E221="MRO","P002", E221="Office Supplies","P003", E221="Packaging","P004", E221="Raw Materials","P005")</f>
        <v>P003</v>
      </c>
    </row>
    <row r="222" spans="1:14" x14ac:dyDescent="0.2">
      <c r="A222" s="1" t="s">
        <v>236</v>
      </c>
      <c r="B222" s="2" t="s">
        <v>6</v>
      </c>
      <c r="C222" s="3">
        <v>44815</v>
      </c>
      <c r="D222" s="3">
        <v>44823</v>
      </c>
      <c r="E222" s="2" t="s">
        <v>10</v>
      </c>
      <c r="F222" s="2" t="s">
        <v>7</v>
      </c>
      <c r="G222" s="2">
        <v>1062</v>
      </c>
      <c r="H222" s="2">
        <v>34.03</v>
      </c>
      <c r="I222" s="2">
        <v>30.46</v>
      </c>
      <c r="J222" s="2">
        <v>0</v>
      </c>
      <c r="K222" s="2" t="s">
        <v>4</v>
      </c>
      <c r="L222" s="2" t="str">
        <f t="shared" si="3"/>
        <v>Delivered</v>
      </c>
      <c r="M222" t="str" cm="1">
        <f t="array" ref="M222">_xlfn.IFS(B222="Alpha_Inc","S001", B222="Delta_Logistics","S002", B222="Gamma_Co","S003", B222="Beta_Supplies","S004", B222="Epsilon_Group","S005")</f>
        <v>S002</v>
      </c>
      <c r="N222" t="str" cm="1">
        <f t="array" ref="N222">_xlfn.IFS(E222="Electronics","P001", E222="MRO","P002", E222="Office Supplies","P003", E222="Packaging","P004", E222="Raw Materials","P005")</f>
        <v>P002</v>
      </c>
    </row>
    <row r="223" spans="1:14" x14ac:dyDescent="0.2">
      <c r="A223" s="4" t="s">
        <v>237</v>
      </c>
      <c r="B223" s="5" t="s">
        <v>12</v>
      </c>
      <c r="C223" s="6">
        <v>44792</v>
      </c>
      <c r="D223" s="6">
        <v>44804</v>
      </c>
      <c r="E223" s="5" t="s">
        <v>2</v>
      </c>
      <c r="F223" s="5" t="s">
        <v>7</v>
      </c>
      <c r="G223" s="5">
        <v>695</v>
      </c>
      <c r="H223" s="5">
        <v>76.8</v>
      </c>
      <c r="I223" s="5">
        <v>69.760000000000005</v>
      </c>
      <c r="J223" s="5">
        <v>0</v>
      </c>
      <c r="K223" s="5" t="s">
        <v>16</v>
      </c>
      <c r="L223" s="5" t="str">
        <f t="shared" si="3"/>
        <v>Delivered</v>
      </c>
      <c r="M223" t="str" cm="1">
        <f t="array" ref="M223">_xlfn.IFS(B223="Alpha_Inc","S001", B223="Delta_Logistics","S002", B223="Gamma_Co","S003", B223="Beta_Supplies","S004", B223="Epsilon_Group","S005")</f>
        <v>S004</v>
      </c>
      <c r="N223" t="str" cm="1">
        <f t="array" ref="N223">_xlfn.IFS(E223="Electronics","P001", E223="MRO","P002", E223="Office Supplies","P003", E223="Packaging","P004", E223="Raw Materials","P005")</f>
        <v>P003</v>
      </c>
    </row>
    <row r="224" spans="1:14" x14ac:dyDescent="0.2">
      <c r="A224" s="1" t="s">
        <v>238</v>
      </c>
      <c r="B224" s="2" t="s">
        <v>18</v>
      </c>
      <c r="C224" s="3">
        <v>44627</v>
      </c>
      <c r="D224" s="3">
        <v>44634</v>
      </c>
      <c r="E224" s="2" t="s">
        <v>10</v>
      </c>
      <c r="F224" s="2" t="s">
        <v>7</v>
      </c>
      <c r="G224" s="2">
        <v>845</v>
      </c>
      <c r="H224" s="2">
        <v>91.47</v>
      </c>
      <c r="I224" s="2">
        <v>86.97</v>
      </c>
      <c r="J224" s="2">
        <v>0</v>
      </c>
      <c r="K224" s="2" t="s">
        <v>4</v>
      </c>
      <c r="L224" s="2" t="str">
        <f t="shared" si="3"/>
        <v>Delivered</v>
      </c>
      <c r="M224" t="str" cm="1">
        <f t="array" ref="M224">_xlfn.IFS(B224="Alpha_Inc","S001", B224="Delta_Logistics","S002", B224="Gamma_Co","S003", B224="Beta_Supplies","S004", B224="Epsilon_Group","S005")</f>
        <v>S005</v>
      </c>
      <c r="N224" t="str" cm="1">
        <f t="array" ref="N224">_xlfn.IFS(E224="Electronics","P001", E224="MRO","P002", E224="Office Supplies","P003", E224="Packaging","P004", E224="Raw Materials","P005")</f>
        <v>P002</v>
      </c>
    </row>
    <row r="225" spans="1:14" x14ac:dyDescent="0.2">
      <c r="A225" s="4" t="s">
        <v>239</v>
      </c>
      <c r="B225" s="5" t="s">
        <v>9</v>
      </c>
      <c r="C225" s="6">
        <v>44908</v>
      </c>
      <c r="D225" s="6">
        <v>44913</v>
      </c>
      <c r="E225" s="5" t="s">
        <v>10</v>
      </c>
      <c r="F225" s="5" t="s">
        <v>7</v>
      </c>
      <c r="G225" s="5">
        <v>1101</v>
      </c>
      <c r="H225" s="5">
        <v>59.13</v>
      </c>
      <c r="I225" s="5">
        <v>52.51</v>
      </c>
      <c r="J225" s="5">
        <v>54</v>
      </c>
      <c r="K225" s="5" t="s">
        <v>4</v>
      </c>
      <c r="L225" s="5" t="str">
        <f t="shared" si="3"/>
        <v>Delivered</v>
      </c>
      <c r="M225" t="str" cm="1">
        <f t="array" ref="M225">_xlfn.IFS(B225="Alpha_Inc","S001", B225="Delta_Logistics","S002", B225="Gamma_Co","S003", B225="Beta_Supplies","S004", B225="Epsilon_Group","S005")</f>
        <v>S003</v>
      </c>
      <c r="N225" t="str" cm="1">
        <f t="array" ref="N225">_xlfn.IFS(E225="Electronics","P001", E225="MRO","P002", E225="Office Supplies","P003", E225="Packaging","P004", E225="Raw Materials","P005")</f>
        <v>P002</v>
      </c>
    </row>
    <row r="226" spans="1:14" x14ac:dyDescent="0.2">
      <c r="A226" s="1" t="s">
        <v>240</v>
      </c>
      <c r="B226" s="2" t="s">
        <v>9</v>
      </c>
      <c r="C226" s="3">
        <v>44583</v>
      </c>
      <c r="D226" s="3">
        <v>44585</v>
      </c>
      <c r="E226" s="2" t="s">
        <v>15</v>
      </c>
      <c r="F226" s="2" t="s">
        <v>7</v>
      </c>
      <c r="G226" s="2">
        <v>1693</v>
      </c>
      <c r="H226" s="2">
        <v>57.89</v>
      </c>
      <c r="I226" s="2">
        <v>49.84</v>
      </c>
      <c r="J226" s="2">
        <v>88</v>
      </c>
      <c r="K226" s="2" t="s">
        <v>4</v>
      </c>
      <c r="L226" s="2" t="str">
        <f t="shared" si="3"/>
        <v>Delivered</v>
      </c>
      <c r="M226" t="str" cm="1">
        <f t="array" ref="M226">_xlfn.IFS(B226="Alpha_Inc","S001", B226="Delta_Logistics","S002", B226="Gamma_Co","S003", B226="Beta_Supplies","S004", B226="Epsilon_Group","S005")</f>
        <v>S003</v>
      </c>
      <c r="N226" t="str" cm="1">
        <f t="array" ref="N226">_xlfn.IFS(E226="Electronics","P001", E226="MRO","P002", E226="Office Supplies","P003", E226="Packaging","P004", E226="Raw Materials","P005")</f>
        <v>P005</v>
      </c>
    </row>
    <row r="227" spans="1:14" x14ac:dyDescent="0.2">
      <c r="A227" s="4" t="s">
        <v>241</v>
      </c>
      <c r="B227" s="5" t="s">
        <v>6</v>
      </c>
      <c r="C227" s="6">
        <v>45164</v>
      </c>
      <c r="D227" s="6">
        <v>45179</v>
      </c>
      <c r="E227" s="5" t="s">
        <v>2</v>
      </c>
      <c r="F227" s="5" t="s">
        <v>3</v>
      </c>
      <c r="G227" s="5">
        <v>1629</v>
      </c>
      <c r="H227" s="5">
        <v>21.51</v>
      </c>
      <c r="I227" s="5">
        <v>19.41</v>
      </c>
      <c r="J227" s="5">
        <v>250</v>
      </c>
      <c r="K227" s="5" t="s">
        <v>16</v>
      </c>
      <c r="L227" s="5" t="str">
        <f t="shared" si="3"/>
        <v>Cancelled</v>
      </c>
      <c r="M227" t="str" cm="1">
        <f t="array" ref="M227">_xlfn.IFS(B227="Alpha_Inc","S001", B227="Delta_Logistics","S002", B227="Gamma_Co","S003", B227="Beta_Supplies","S004", B227="Epsilon_Group","S005")</f>
        <v>S002</v>
      </c>
      <c r="N227" t="str" cm="1">
        <f t="array" ref="N227">_xlfn.IFS(E227="Electronics","P001", E227="MRO","P002", E227="Office Supplies","P003", E227="Packaging","P004", E227="Raw Materials","P005")</f>
        <v>P003</v>
      </c>
    </row>
    <row r="228" spans="1:14" x14ac:dyDescent="0.2">
      <c r="A228" s="1" t="s">
        <v>242</v>
      </c>
      <c r="B228" s="2" t="s">
        <v>6</v>
      </c>
      <c r="C228" s="3">
        <v>45129</v>
      </c>
      <c r="D228" s="3">
        <v>45141</v>
      </c>
      <c r="E228" s="2" t="s">
        <v>15</v>
      </c>
      <c r="F228" s="2" t="s">
        <v>7</v>
      </c>
      <c r="G228" s="2">
        <v>1413</v>
      </c>
      <c r="H228" s="2">
        <v>54.79</v>
      </c>
      <c r="I228" s="2">
        <v>50.42</v>
      </c>
      <c r="J228" s="2">
        <v>0</v>
      </c>
      <c r="K228" s="2" t="s">
        <v>4</v>
      </c>
      <c r="L228" s="2" t="str">
        <f t="shared" si="3"/>
        <v>Delivered</v>
      </c>
      <c r="M228" t="str" cm="1">
        <f t="array" ref="M228">_xlfn.IFS(B228="Alpha_Inc","S001", B228="Delta_Logistics","S002", B228="Gamma_Co","S003", B228="Beta_Supplies","S004", B228="Epsilon_Group","S005")</f>
        <v>S002</v>
      </c>
      <c r="N228" t="str" cm="1">
        <f t="array" ref="N228">_xlfn.IFS(E228="Electronics","P001", E228="MRO","P002", E228="Office Supplies","P003", E228="Packaging","P004", E228="Raw Materials","P005")</f>
        <v>P005</v>
      </c>
    </row>
    <row r="229" spans="1:14" x14ac:dyDescent="0.2">
      <c r="A229" s="4" t="s">
        <v>243</v>
      </c>
      <c r="B229" s="5" t="s">
        <v>18</v>
      </c>
      <c r="C229" s="6">
        <v>44797</v>
      </c>
      <c r="D229" s="6">
        <v>44800</v>
      </c>
      <c r="E229" s="5" t="s">
        <v>13</v>
      </c>
      <c r="F229" s="5" t="s">
        <v>7</v>
      </c>
      <c r="G229" s="5">
        <v>1871</v>
      </c>
      <c r="H229" s="5">
        <v>59.96</v>
      </c>
      <c r="I229" s="5">
        <v>58.54</v>
      </c>
      <c r="J229" s="5">
        <v>47</v>
      </c>
      <c r="K229" s="5" t="s">
        <v>4</v>
      </c>
      <c r="L229" s="5" t="str">
        <f t="shared" si="3"/>
        <v>Delivered</v>
      </c>
      <c r="M229" t="str" cm="1">
        <f t="array" ref="M229">_xlfn.IFS(B229="Alpha_Inc","S001", B229="Delta_Logistics","S002", B229="Gamma_Co","S003", B229="Beta_Supplies","S004", B229="Epsilon_Group","S005")</f>
        <v>S005</v>
      </c>
      <c r="N229" t="str" cm="1">
        <f t="array" ref="N229">_xlfn.IFS(E229="Electronics","P001", E229="MRO","P002", E229="Office Supplies","P003", E229="Packaging","P004", E229="Raw Materials","P005")</f>
        <v>P004</v>
      </c>
    </row>
    <row r="230" spans="1:14" x14ac:dyDescent="0.2">
      <c r="A230" s="1" t="s">
        <v>244</v>
      </c>
      <c r="B230" s="2" t="s">
        <v>9</v>
      </c>
      <c r="C230" s="3">
        <v>45164</v>
      </c>
      <c r="D230" s="3">
        <f>Table1[[#This Row],[Order_Date]]+14</f>
        <v>45178</v>
      </c>
      <c r="E230" s="2" t="s">
        <v>15</v>
      </c>
      <c r="F230" s="2" t="s">
        <v>7</v>
      </c>
      <c r="G230" s="2">
        <v>1404</v>
      </c>
      <c r="H230" s="2">
        <v>34.85</v>
      </c>
      <c r="I230" s="2">
        <v>30.5</v>
      </c>
      <c r="J230" s="2">
        <v>78</v>
      </c>
      <c r="K230" s="2" t="s">
        <v>4</v>
      </c>
      <c r="L230" s="2" t="str">
        <f t="shared" si="3"/>
        <v>Delivered</v>
      </c>
      <c r="M230" t="str" cm="1">
        <f t="array" ref="M230">_xlfn.IFS(B230="Alpha_Inc","S001", B230="Delta_Logistics","S002", B230="Gamma_Co","S003", B230="Beta_Supplies","S004", B230="Epsilon_Group","S005")</f>
        <v>S003</v>
      </c>
      <c r="N230" t="str" cm="1">
        <f t="array" ref="N230">_xlfn.IFS(E230="Electronics","P001", E230="MRO","P002", E230="Office Supplies","P003", E230="Packaging","P004", E230="Raw Materials","P005")</f>
        <v>P005</v>
      </c>
    </row>
    <row r="231" spans="1:14" x14ac:dyDescent="0.2">
      <c r="A231" s="4" t="s">
        <v>245</v>
      </c>
      <c r="B231" s="5" t="s">
        <v>9</v>
      </c>
      <c r="C231" s="6">
        <v>44787</v>
      </c>
      <c r="D231" s="6">
        <v>44801</v>
      </c>
      <c r="E231" s="5" t="s">
        <v>28</v>
      </c>
      <c r="F231" s="5" t="s">
        <v>7</v>
      </c>
      <c r="G231" s="5">
        <v>1713</v>
      </c>
      <c r="H231" s="5">
        <v>35.43</v>
      </c>
      <c r="I231" s="5">
        <v>34.11</v>
      </c>
      <c r="J231" s="5">
        <v>74</v>
      </c>
      <c r="K231" s="5" t="s">
        <v>4</v>
      </c>
      <c r="L231" s="5" t="str">
        <f t="shared" si="3"/>
        <v>Delivered</v>
      </c>
      <c r="M231" t="str" cm="1">
        <f t="array" ref="M231">_xlfn.IFS(B231="Alpha_Inc","S001", B231="Delta_Logistics","S002", B231="Gamma_Co","S003", B231="Beta_Supplies","S004", B231="Epsilon_Group","S005")</f>
        <v>S003</v>
      </c>
      <c r="N231" t="str" cm="1">
        <f t="array" ref="N231">_xlfn.IFS(E231="Electronics","P001", E231="MRO","P002", E231="Office Supplies","P003", E231="Packaging","P004", E231="Raw Materials","P005")</f>
        <v>P001</v>
      </c>
    </row>
    <row r="232" spans="1:14" x14ac:dyDescent="0.2">
      <c r="A232" s="1" t="s">
        <v>246</v>
      </c>
      <c r="B232" s="2" t="s">
        <v>9</v>
      </c>
      <c r="C232" s="3">
        <v>44569</v>
      </c>
      <c r="D232" s="3">
        <v>44574</v>
      </c>
      <c r="E232" s="2" t="s">
        <v>28</v>
      </c>
      <c r="F232" s="2" t="s">
        <v>7</v>
      </c>
      <c r="G232" s="2">
        <v>1579</v>
      </c>
      <c r="H232" s="2">
        <v>43.96</v>
      </c>
      <c r="I232" s="2">
        <v>43.41</v>
      </c>
      <c r="J232" s="2">
        <v>74</v>
      </c>
      <c r="K232" s="2" t="s">
        <v>4</v>
      </c>
      <c r="L232" s="2" t="str">
        <f t="shared" si="3"/>
        <v>Delivered</v>
      </c>
      <c r="M232" t="str" cm="1">
        <f t="array" ref="M232">_xlfn.IFS(B232="Alpha_Inc","S001", B232="Delta_Logistics","S002", B232="Gamma_Co","S003", B232="Beta_Supplies","S004", B232="Epsilon_Group","S005")</f>
        <v>S003</v>
      </c>
      <c r="N232" t="str" cm="1">
        <f t="array" ref="N232">_xlfn.IFS(E232="Electronics","P001", E232="MRO","P002", E232="Office Supplies","P003", E232="Packaging","P004", E232="Raw Materials","P005")</f>
        <v>P001</v>
      </c>
    </row>
    <row r="233" spans="1:14" x14ac:dyDescent="0.2">
      <c r="A233" s="4" t="s">
        <v>247</v>
      </c>
      <c r="B233" s="5" t="s">
        <v>9</v>
      </c>
      <c r="C233" s="6">
        <v>44634</v>
      </c>
      <c r="D233" s="6">
        <v>44646</v>
      </c>
      <c r="E233" s="5" t="s">
        <v>28</v>
      </c>
      <c r="F233" s="5" t="s">
        <v>7</v>
      </c>
      <c r="G233" s="5">
        <v>1421</v>
      </c>
      <c r="H233" s="5">
        <v>11.92</v>
      </c>
      <c r="I233" s="5">
        <v>11.72</v>
      </c>
      <c r="J233" s="5">
        <v>76</v>
      </c>
      <c r="K233" s="5" t="s">
        <v>4</v>
      </c>
      <c r="L233" s="5" t="str">
        <f t="shared" si="3"/>
        <v>Delivered</v>
      </c>
      <c r="M233" t="str" cm="1">
        <f t="array" ref="M233">_xlfn.IFS(B233="Alpha_Inc","S001", B233="Delta_Logistics","S002", B233="Gamma_Co","S003", B233="Beta_Supplies","S004", B233="Epsilon_Group","S005")</f>
        <v>S003</v>
      </c>
      <c r="N233" t="str" cm="1">
        <f t="array" ref="N233">_xlfn.IFS(E233="Electronics","P001", E233="MRO","P002", E233="Office Supplies","P003", E233="Packaging","P004", E233="Raw Materials","P005")</f>
        <v>P001</v>
      </c>
    </row>
    <row r="234" spans="1:14" x14ac:dyDescent="0.2">
      <c r="A234" s="1" t="s">
        <v>248</v>
      </c>
      <c r="B234" s="2" t="s">
        <v>18</v>
      </c>
      <c r="C234" s="3">
        <v>45286</v>
      </c>
      <c r="D234" s="3">
        <v>45295</v>
      </c>
      <c r="E234" s="2" t="s">
        <v>10</v>
      </c>
      <c r="F234" s="2" t="s">
        <v>7</v>
      </c>
      <c r="G234" s="2">
        <v>1546</v>
      </c>
      <c r="H234" s="2">
        <v>43.47</v>
      </c>
      <c r="I234" s="2">
        <v>37.369999999999997</v>
      </c>
      <c r="J234" s="2">
        <v>53</v>
      </c>
      <c r="K234" s="2" t="s">
        <v>4</v>
      </c>
      <c r="L234" s="2" t="str">
        <f t="shared" si="3"/>
        <v>Delivered</v>
      </c>
      <c r="M234" t="str" cm="1">
        <f t="array" ref="M234">_xlfn.IFS(B234="Alpha_Inc","S001", B234="Delta_Logistics","S002", B234="Gamma_Co","S003", B234="Beta_Supplies","S004", B234="Epsilon_Group","S005")</f>
        <v>S005</v>
      </c>
      <c r="N234" t="str" cm="1">
        <f t="array" ref="N234">_xlfn.IFS(E234="Electronics","P001", E234="MRO","P002", E234="Office Supplies","P003", E234="Packaging","P004", E234="Raw Materials","P005")</f>
        <v>P002</v>
      </c>
    </row>
    <row r="235" spans="1:14" x14ac:dyDescent="0.2">
      <c r="A235" s="4" t="s">
        <v>249</v>
      </c>
      <c r="B235" s="5" t="s">
        <v>6</v>
      </c>
      <c r="C235" s="6">
        <v>45208</v>
      </c>
      <c r="D235" s="6">
        <v>45217</v>
      </c>
      <c r="E235" s="5" t="s">
        <v>28</v>
      </c>
      <c r="F235" s="5" t="s">
        <v>7</v>
      </c>
      <c r="G235" s="5">
        <v>1304</v>
      </c>
      <c r="H235" s="5">
        <v>32.08</v>
      </c>
      <c r="I235" s="5">
        <v>29.36</v>
      </c>
      <c r="J235" s="5">
        <v>0</v>
      </c>
      <c r="K235" s="5" t="s">
        <v>4</v>
      </c>
      <c r="L235" s="5" t="str">
        <f t="shared" si="3"/>
        <v>Delivered</v>
      </c>
      <c r="M235" t="str" cm="1">
        <f t="array" ref="M235">_xlfn.IFS(B235="Alpha_Inc","S001", B235="Delta_Logistics","S002", B235="Gamma_Co","S003", B235="Beta_Supplies","S004", B235="Epsilon_Group","S005")</f>
        <v>S002</v>
      </c>
      <c r="N235" t="str" cm="1">
        <f t="array" ref="N235">_xlfn.IFS(E235="Electronics","P001", E235="MRO","P002", E235="Office Supplies","P003", E235="Packaging","P004", E235="Raw Materials","P005")</f>
        <v>P001</v>
      </c>
    </row>
    <row r="236" spans="1:14" x14ac:dyDescent="0.2">
      <c r="A236" s="1" t="s">
        <v>250</v>
      </c>
      <c r="B236" s="2" t="s">
        <v>6</v>
      </c>
      <c r="C236" s="3">
        <v>44622</v>
      </c>
      <c r="D236" s="3">
        <f>Table1[[#This Row],[Order_Date]]+14</f>
        <v>44636</v>
      </c>
      <c r="E236" s="2" t="s">
        <v>15</v>
      </c>
      <c r="F236" s="2" t="s">
        <v>7</v>
      </c>
      <c r="G236" s="2">
        <v>239</v>
      </c>
      <c r="H236" s="2">
        <v>39.869999999999997</v>
      </c>
      <c r="I236" s="2">
        <v>35.47</v>
      </c>
      <c r="J236" s="2">
        <v>32</v>
      </c>
      <c r="K236" s="2" t="s">
        <v>4</v>
      </c>
      <c r="L236" s="2" t="str">
        <f t="shared" si="3"/>
        <v>Delivered</v>
      </c>
      <c r="M236" t="str" cm="1">
        <f t="array" ref="M236">_xlfn.IFS(B236="Alpha_Inc","S001", B236="Delta_Logistics","S002", B236="Gamma_Co","S003", B236="Beta_Supplies","S004", B236="Epsilon_Group","S005")</f>
        <v>S002</v>
      </c>
      <c r="N236" t="str" cm="1">
        <f t="array" ref="N236">_xlfn.IFS(E236="Electronics","P001", E236="MRO","P002", E236="Office Supplies","P003", E236="Packaging","P004", E236="Raw Materials","P005")</f>
        <v>P005</v>
      </c>
    </row>
    <row r="237" spans="1:14" x14ac:dyDescent="0.2">
      <c r="A237" s="4" t="s">
        <v>251</v>
      </c>
      <c r="B237" s="5" t="s">
        <v>1</v>
      </c>
      <c r="C237" s="6">
        <v>44796</v>
      </c>
      <c r="D237" s="6">
        <f>Table1[[#This Row],[Order_Date]]+14</f>
        <v>44810</v>
      </c>
      <c r="E237" s="5" t="s">
        <v>2</v>
      </c>
      <c r="F237" s="5" t="s">
        <v>7</v>
      </c>
      <c r="G237" s="5">
        <v>1298</v>
      </c>
      <c r="H237" s="5">
        <v>21.51</v>
      </c>
      <c r="I237" s="5">
        <v>20.83</v>
      </c>
      <c r="J237" s="5">
        <v>0</v>
      </c>
      <c r="K237" s="5" t="s">
        <v>4</v>
      </c>
      <c r="L237" s="5" t="str">
        <f t="shared" si="3"/>
        <v>Delivered</v>
      </c>
      <c r="M237" t="str" cm="1">
        <f t="array" ref="M237">_xlfn.IFS(B237="Alpha_Inc","S001", B237="Delta_Logistics","S002", B237="Gamma_Co","S003", B237="Beta_Supplies","S004", B237="Epsilon_Group","S005")</f>
        <v>S001</v>
      </c>
      <c r="N237" t="str" cm="1">
        <f t="array" ref="N237">_xlfn.IFS(E237="Electronics","P001", E237="MRO","P002", E237="Office Supplies","P003", E237="Packaging","P004", E237="Raw Materials","P005")</f>
        <v>P003</v>
      </c>
    </row>
    <row r="238" spans="1:14" x14ac:dyDescent="0.2">
      <c r="A238" s="1" t="s">
        <v>252</v>
      </c>
      <c r="B238" s="2" t="s">
        <v>6</v>
      </c>
      <c r="C238" s="3">
        <v>44631</v>
      </c>
      <c r="D238" s="3">
        <f>Table1[[#This Row],[Order_Date]]+14</f>
        <v>44645</v>
      </c>
      <c r="E238" s="2" t="s">
        <v>10</v>
      </c>
      <c r="F238" s="2" t="s">
        <v>7</v>
      </c>
      <c r="G238" s="2">
        <v>1458</v>
      </c>
      <c r="H238" s="2">
        <v>91.05</v>
      </c>
      <c r="I238" s="2">
        <v>81.56</v>
      </c>
      <c r="J238" s="2">
        <v>220</v>
      </c>
      <c r="K238" s="2" t="s">
        <v>4</v>
      </c>
      <c r="L238" s="2" t="str">
        <f t="shared" si="3"/>
        <v>Delivered</v>
      </c>
      <c r="M238" t="str" cm="1">
        <f t="array" ref="M238">_xlfn.IFS(B238="Alpha_Inc","S001", B238="Delta_Logistics","S002", B238="Gamma_Co","S003", B238="Beta_Supplies","S004", B238="Epsilon_Group","S005")</f>
        <v>S002</v>
      </c>
      <c r="N238" t="str" cm="1">
        <f t="array" ref="N238">_xlfn.IFS(E238="Electronics","P001", E238="MRO","P002", E238="Office Supplies","P003", E238="Packaging","P004", E238="Raw Materials","P005")</f>
        <v>P002</v>
      </c>
    </row>
    <row r="239" spans="1:14" x14ac:dyDescent="0.2">
      <c r="A239" s="4" t="s">
        <v>253</v>
      </c>
      <c r="B239" s="5" t="s">
        <v>9</v>
      </c>
      <c r="C239" s="6">
        <v>44594</v>
      </c>
      <c r="D239" s="6">
        <v>44605</v>
      </c>
      <c r="E239" s="5" t="s">
        <v>10</v>
      </c>
      <c r="F239" s="5" t="s">
        <v>7</v>
      </c>
      <c r="G239" s="5">
        <v>1450</v>
      </c>
      <c r="H239" s="5">
        <v>63.74</v>
      </c>
      <c r="I239" s="5">
        <v>59.11</v>
      </c>
      <c r="J239" s="5">
        <v>71</v>
      </c>
      <c r="K239" s="5" t="s">
        <v>4</v>
      </c>
      <c r="L239" s="5" t="str">
        <f t="shared" si="3"/>
        <v>Delivered</v>
      </c>
      <c r="M239" t="str" cm="1">
        <f t="array" ref="M239">_xlfn.IFS(B239="Alpha_Inc","S001", B239="Delta_Logistics","S002", B239="Gamma_Co","S003", B239="Beta_Supplies","S004", B239="Epsilon_Group","S005")</f>
        <v>S003</v>
      </c>
      <c r="N239" t="str" cm="1">
        <f t="array" ref="N239">_xlfn.IFS(E239="Electronics","P001", E239="MRO","P002", E239="Office Supplies","P003", E239="Packaging","P004", E239="Raw Materials","P005")</f>
        <v>P002</v>
      </c>
    </row>
    <row r="240" spans="1:14" x14ac:dyDescent="0.2">
      <c r="A240" s="1" t="s">
        <v>254</v>
      </c>
      <c r="B240" s="2" t="s">
        <v>12</v>
      </c>
      <c r="C240" s="3">
        <v>44900</v>
      </c>
      <c r="D240" s="3">
        <v>44915</v>
      </c>
      <c r="E240" s="2" t="s">
        <v>28</v>
      </c>
      <c r="F240" s="2" t="s">
        <v>7</v>
      </c>
      <c r="G240" s="2">
        <v>1356</v>
      </c>
      <c r="H240" s="2">
        <v>75.03</v>
      </c>
      <c r="I240" s="2">
        <v>63.86</v>
      </c>
      <c r="J240" s="2">
        <v>131</v>
      </c>
      <c r="K240" s="2" t="s">
        <v>4</v>
      </c>
      <c r="L240" s="2" t="str">
        <f t="shared" si="3"/>
        <v>Delivered</v>
      </c>
      <c r="M240" t="str" cm="1">
        <f t="array" ref="M240">_xlfn.IFS(B240="Alpha_Inc","S001", B240="Delta_Logistics","S002", B240="Gamma_Co","S003", B240="Beta_Supplies","S004", B240="Epsilon_Group","S005")</f>
        <v>S004</v>
      </c>
      <c r="N240" t="str" cm="1">
        <f t="array" ref="N240">_xlfn.IFS(E240="Electronics","P001", E240="MRO","P002", E240="Office Supplies","P003", E240="Packaging","P004", E240="Raw Materials","P005")</f>
        <v>P001</v>
      </c>
    </row>
    <row r="241" spans="1:14" x14ac:dyDescent="0.2">
      <c r="A241" s="4" t="s">
        <v>255</v>
      </c>
      <c r="B241" s="5" t="s">
        <v>9</v>
      </c>
      <c r="C241" s="6">
        <v>44634</v>
      </c>
      <c r="D241" s="6">
        <f>Table1[[#This Row],[Order_Date]]+14</f>
        <v>44648</v>
      </c>
      <c r="E241" s="5" t="s">
        <v>13</v>
      </c>
      <c r="F241" s="5" t="s">
        <v>7</v>
      </c>
      <c r="G241" s="5">
        <v>682</v>
      </c>
      <c r="H241" s="5">
        <v>81.84</v>
      </c>
      <c r="I241" s="5">
        <v>71.86</v>
      </c>
      <c r="J241" s="5">
        <v>40</v>
      </c>
      <c r="K241" s="5" t="s">
        <v>4</v>
      </c>
      <c r="L241" s="5" t="str">
        <f t="shared" si="3"/>
        <v>Delivered</v>
      </c>
      <c r="M241" t="str" cm="1">
        <f t="array" ref="M241">_xlfn.IFS(B241="Alpha_Inc","S001", B241="Delta_Logistics","S002", B241="Gamma_Co","S003", B241="Beta_Supplies","S004", B241="Epsilon_Group","S005")</f>
        <v>S003</v>
      </c>
      <c r="N241" t="str" cm="1">
        <f t="array" ref="N241">_xlfn.IFS(E241="Electronics","P001", E241="MRO","P002", E241="Office Supplies","P003", E241="Packaging","P004", E241="Raw Materials","P005")</f>
        <v>P004</v>
      </c>
    </row>
    <row r="242" spans="1:14" x14ac:dyDescent="0.2">
      <c r="A242" s="1" t="s">
        <v>256</v>
      </c>
      <c r="B242" s="2" t="s">
        <v>9</v>
      </c>
      <c r="C242" s="3">
        <v>45088</v>
      </c>
      <c r="D242" s="3">
        <v>45096</v>
      </c>
      <c r="E242" s="2" t="s">
        <v>13</v>
      </c>
      <c r="F242" s="2" t="s">
        <v>7</v>
      </c>
      <c r="G242" s="2">
        <v>677</v>
      </c>
      <c r="H242" s="2">
        <v>59.52</v>
      </c>
      <c r="I242" s="2">
        <v>55.29</v>
      </c>
      <c r="J242" s="2">
        <v>39</v>
      </c>
      <c r="K242" s="2" t="s">
        <v>4</v>
      </c>
      <c r="L242" s="2" t="str">
        <f t="shared" si="3"/>
        <v>Delivered</v>
      </c>
      <c r="M242" t="str" cm="1">
        <f t="array" ref="M242">_xlfn.IFS(B242="Alpha_Inc","S001", B242="Delta_Logistics","S002", B242="Gamma_Co","S003", B242="Beta_Supplies","S004", B242="Epsilon_Group","S005")</f>
        <v>S003</v>
      </c>
      <c r="N242" t="str" cm="1">
        <f t="array" ref="N242">_xlfn.IFS(E242="Electronics","P001", E242="MRO","P002", E242="Office Supplies","P003", E242="Packaging","P004", E242="Raw Materials","P005")</f>
        <v>P004</v>
      </c>
    </row>
    <row r="243" spans="1:14" x14ac:dyDescent="0.2">
      <c r="A243" s="4" t="s">
        <v>257</v>
      </c>
      <c r="B243" s="5" t="s">
        <v>6</v>
      </c>
      <c r="C243" s="6">
        <v>44805</v>
      </c>
      <c r="D243" s="6">
        <v>44818</v>
      </c>
      <c r="E243" s="5" t="s">
        <v>2</v>
      </c>
      <c r="F243" s="5" t="s">
        <v>7</v>
      </c>
      <c r="G243" s="5">
        <v>1022</v>
      </c>
      <c r="H243" s="5">
        <v>18.54</v>
      </c>
      <c r="I243" s="5">
        <v>16.55</v>
      </c>
      <c r="J243" s="5">
        <v>150</v>
      </c>
      <c r="K243" s="5" t="s">
        <v>4</v>
      </c>
      <c r="L243" s="5" t="str">
        <f t="shared" si="3"/>
        <v>Delivered</v>
      </c>
      <c r="M243" t="str" cm="1">
        <f t="array" ref="M243">_xlfn.IFS(B243="Alpha_Inc","S001", B243="Delta_Logistics","S002", B243="Gamma_Co","S003", B243="Beta_Supplies","S004", B243="Epsilon_Group","S005")</f>
        <v>S002</v>
      </c>
      <c r="N243" t="str" cm="1">
        <f t="array" ref="N243">_xlfn.IFS(E243="Electronics","P001", E243="MRO","P002", E243="Office Supplies","P003", E243="Packaging","P004", E243="Raw Materials","P005")</f>
        <v>P003</v>
      </c>
    </row>
    <row r="244" spans="1:14" x14ac:dyDescent="0.2">
      <c r="A244" s="1" t="s">
        <v>258</v>
      </c>
      <c r="B244" s="2" t="s">
        <v>1</v>
      </c>
      <c r="C244" s="3">
        <v>44847</v>
      </c>
      <c r="D244" s="3">
        <f>Table1[[#This Row],[Order_Date]]+14</f>
        <v>44861</v>
      </c>
      <c r="E244" s="2" t="s">
        <v>15</v>
      </c>
      <c r="F244" s="2" t="s">
        <v>7</v>
      </c>
      <c r="G244" s="2">
        <v>1818</v>
      </c>
      <c r="H244" s="2">
        <v>60.96</v>
      </c>
      <c r="I244" s="2">
        <v>57.13</v>
      </c>
      <c r="J244" s="2">
        <v>41</v>
      </c>
      <c r="K244" s="2" t="s">
        <v>4</v>
      </c>
      <c r="L244" s="2" t="str">
        <f t="shared" si="3"/>
        <v>Delivered</v>
      </c>
      <c r="M244" t="str" cm="1">
        <f t="array" ref="M244">_xlfn.IFS(B244="Alpha_Inc","S001", B244="Delta_Logistics","S002", B244="Gamma_Co","S003", B244="Beta_Supplies","S004", B244="Epsilon_Group","S005")</f>
        <v>S001</v>
      </c>
      <c r="N244" t="str" cm="1">
        <f t="array" ref="N244">_xlfn.IFS(E244="Electronics","P001", E244="MRO","P002", E244="Office Supplies","P003", E244="Packaging","P004", E244="Raw Materials","P005")</f>
        <v>P005</v>
      </c>
    </row>
    <row r="245" spans="1:14" x14ac:dyDescent="0.2">
      <c r="A245" s="4" t="s">
        <v>259</v>
      </c>
      <c r="B245" s="5" t="s">
        <v>18</v>
      </c>
      <c r="C245" s="6">
        <v>45247</v>
      </c>
      <c r="D245" s="6">
        <v>45259</v>
      </c>
      <c r="E245" s="5" t="s">
        <v>28</v>
      </c>
      <c r="F245" s="5" t="s">
        <v>7</v>
      </c>
      <c r="G245" s="5">
        <v>1332</v>
      </c>
      <c r="H245" s="5">
        <v>69.73</v>
      </c>
      <c r="I245" s="5">
        <v>63.8</v>
      </c>
      <c r="J245" s="5">
        <v>41</v>
      </c>
      <c r="K245" s="5" t="s">
        <v>4</v>
      </c>
      <c r="L245" s="5" t="str">
        <f t="shared" si="3"/>
        <v>Delivered</v>
      </c>
      <c r="M245" t="str" cm="1">
        <f t="array" ref="M245">_xlfn.IFS(B245="Alpha_Inc","S001", B245="Delta_Logistics","S002", B245="Gamma_Co","S003", B245="Beta_Supplies","S004", B245="Epsilon_Group","S005")</f>
        <v>S005</v>
      </c>
      <c r="N245" t="str" cm="1">
        <f t="array" ref="N245">_xlfn.IFS(E245="Electronics","P001", E245="MRO","P002", E245="Office Supplies","P003", E245="Packaging","P004", E245="Raw Materials","P005")</f>
        <v>P001</v>
      </c>
    </row>
    <row r="246" spans="1:14" x14ac:dyDescent="0.2">
      <c r="A246" s="1" t="s">
        <v>260</v>
      </c>
      <c r="B246" s="2" t="s">
        <v>12</v>
      </c>
      <c r="C246" s="3">
        <v>45059</v>
      </c>
      <c r="D246" s="3">
        <v>45072</v>
      </c>
      <c r="E246" s="2" t="s">
        <v>15</v>
      </c>
      <c r="F246" s="2" t="s">
        <v>7</v>
      </c>
      <c r="G246" s="2">
        <v>1432</v>
      </c>
      <c r="H246" s="2">
        <v>83.26</v>
      </c>
      <c r="I246" s="2">
        <v>77.67</v>
      </c>
      <c r="J246" s="2">
        <v>174</v>
      </c>
      <c r="K246" s="2" t="s">
        <v>4</v>
      </c>
      <c r="L246" s="2" t="str">
        <f t="shared" si="3"/>
        <v>Delivered</v>
      </c>
      <c r="M246" t="str" cm="1">
        <f t="array" ref="M246">_xlfn.IFS(B246="Alpha_Inc","S001", B246="Delta_Logistics","S002", B246="Gamma_Co","S003", B246="Beta_Supplies","S004", B246="Epsilon_Group","S005")</f>
        <v>S004</v>
      </c>
      <c r="N246" t="str" cm="1">
        <f t="array" ref="N246">_xlfn.IFS(E246="Electronics","P001", E246="MRO","P002", E246="Office Supplies","P003", E246="Packaging","P004", E246="Raw Materials","P005")</f>
        <v>P005</v>
      </c>
    </row>
    <row r="247" spans="1:14" x14ac:dyDescent="0.2">
      <c r="A247" s="4" t="s">
        <v>261</v>
      </c>
      <c r="B247" s="5" t="s">
        <v>12</v>
      </c>
      <c r="C247" s="6">
        <v>44781</v>
      </c>
      <c r="D247" s="6">
        <v>44799</v>
      </c>
      <c r="E247" s="5" t="s">
        <v>13</v>
      </c>
      <c r="F247" s="5" t="s">
        <v>24</v>
      </c>
      <c r="G247" s="5">
        <v>759</v>
      </c>
      <c r="H247" s="5">
        <v>50.56</v>
      </c>
      <c r="I247" s="5">
        <v>46.47</v>
      </c>
      <c r="J247" s="5">
        <v>63</v>
      </c>
      <c r="K247" s="5" t="s">
        <v>16</v>
      </c>
      <c r="L247" s="5" t="str">
        <f t="shared" si="3"/>
        <v>Pending</v>
      </c>
      <c r="M247" t="str" cm="1">
        <f t="array" ref="M247">_xlfn.IFS(B247="Alpha_Inc","S001", B247="Delta_Logistics","S002", B247="Gamma_Co","S003", B247="Beta_Supplies","S004", B247="Epsilon_Group","S005")</f>
        <v>S004</v>
      </c>
      <c r="N247" t="str" cm="1">
        <f t="array" ref="N247">_xlfn.IFS(E247="Electronics","P001", E247="MRO","P002", E247="Office Supplies","P003", E247="Packaging","P004", E247="Raw Materials","P005")</f>
        <v>P004</v>
      </c>
    </row>
    <row r="248" spans="1:14" x14ac:dyDescent="0.2">
      <c r="A248" s="1" t="s">
        <v>262</v>
      </c>
      <c r="B248" s="2" t="s">
        <v>1</v>
      </c>
      <c r="C248" s="3">
        <v>45114</v>
      </c>
      <c r="D248" s="3">
        <v>45126</v>
      </c>
      <c r="E248" s="2" t="s">
        <v>13</v>
      </c>
      <c r="F248" s="2" t="s">
        <v>7</v>
      </c>
      <c r="G248" s="2">
        <v>1529</v>
      </c>
      <c r="H248" s="2">
        <v>23.42</v>
      </c>
      <c r="I248" s="2">
        <v>22.44</v>
      </c>
      <c r="J248" s="2">
        <v>30</v>
      </c>
      <c r="K248" s="2" t="s">
        <v>4</v>
      </c>
      <c r="L248" s="2" t="str">
        <f t="shared" si="3"/>
        <v>Delivered</v>
      </c>
      <c r="M248" t="str" cm="1">
        <f t="array" ref="M248">_xlfn.IFS(B248="Alpha_Inc","S001", B248="Delta_Logistics","S002", B248="Gamma_Co","S003", B248="Beta_Supplies","S004", B248="Epsilon_Group","S005")</f>
        <v>S001</v>
      </c>
      <c r="N248" t="str" cm="1">
        <f t="array" ref="N248">_xlfn.IFS(E248="Electronics","P001", E248="MRO","P002", E248="Office Supplies","P003", E248="Packaging","P004", E248="Raw Materials","P005")</f>
        <v>P004</v>
      </c>
    </row>
    <row r="249" spans="1:14" x14ac:dyDescent="0.2">
      <c r="A249" s="4" t="s">
        <v>263</v>
      </c>
      <c r="B249" s="5" t="s">
        <v>9</v>
      </c>
      <c r="C249" s="6">
        <v>44697</v>
      </c>
      <c r="D249" s="6">
        <v>44706</v>
      </c>
      <c r="E249" s="5" t="s">
        <v>28</v>
      </c>
      <c r="F249" s="5" t="s">
        <v>7</v>
      </c>
      <c r="G249" s="5">
        <v>1484</v>
      </c>
      <c r="H249" s="5">
        <v>36.25</v>
      </c>
      <c r="I249" s="5">
        <v>31.8</v>
      </c>
      <c r="J249" s="5">
        <v>61</v>
      </c>
      <c r="K249" s="5" t="s">
        <v>4</v>
      </c>
      <c r="L249" s="5" t="str">
        <f t="shared" si="3"/>
        <v>Delivered</v>
      </c>
      <c r="M249" t="str" cm="1">
        <f t="array" ref="M249">_xlfn.IFS(B249="Alpha_Inc","S001", B249="Delta_Logistics","S002", B249="Gamma_Co","S003", B249="Beta_Supplies","S004", B249="Epsilon_Group","S005")</f>
        <v>S003</v>
      </c>
      <c r="N249" t="str" cm="1">
        <f t="array" ref="N249">_xlfn.IFS(E249="Electronics","P001", E249="MRO","P002", E249="Office Supplies","P003", E249="Packaging","P004", E249="Raw Materials","P005")</f>
        <v>P001</v>
      </c>
    </row>
    <row r="250" spans="1:14" x14ac:dyDescent="0.2">
      <c r="A250" s="1" t="s">
        <v>264</v>
      </c>
      <c r="B250" s="2" t="s">
        <v>18</v>
      </c>
      <c r="C250" s="3">
        <v>45146</v>
      </c>
      <c r="D250" s="3">
        <v>45158</v>
      </c>
      <c r="E250" s="2" t="s">
        <v>13</v>
      </c>
      <c r="F250" s="2" t="s">
        <v>7</v>
      </c>
      <c r="G250" s="2">
        <v>698</v>
      </c>
      <c r="H250" s="2">
        <v>46.73</v>
      </c>
      <c r="I250" s="2">
        <v>45.61</v>
      </c>
      <c r="J250" s="2">
        <v>15</v>
      </c>
      <c r="K250" s="2" t="s">
        <v>4</v>
      </c>
      <c r="L250" s="2" t="str">
        <f t="shared" si="3"/>
        <v>Delivered</v>
      </c>
      <c r="M250" t="str" cm="1">
        <f t="array" ref="M250">_xlfn.IFS(B250="Alpha_Inc","S001", B250="Delta_Logistics","S002", B250="Gamma_Co","S003", B250="Beta_Supplies","S004", B250="Epsilon_Group","S005")</f>
        <v>S005</v>
      </c>
      <c r="N250" t="str" cm="1">
        <f t="array" ref="N250">_xlfn.IFS(E250="Electronics","P001", E250="MRO","P002", E250="Office Supplies","P003", E250="Packaging","P004", E250="Raw Materials","P005")</f>
        <v>P004</v>
      </c>
    </row>
    <row r="251" spans="1:14" x14ac:dyDescent="0.2">
      <c r="A251" s="4" t="s">
        <v>265</v>
      </c>
      <c r="B251" s="5" t="s">
        <v>18</v>
      </c>
      <c r="C251" s="6">
        <v>45152</v>
      </c>
      <c r="D251" s="6">
        <v>45160</v>
      </c>
      <c r="E251" s="5" t="s">
        <v>13</v>
      </c>
      <c r="F251" s="5" t="s">
        <v>24</v>
      </c>
      <c r="G251" s="5">
        <v>367</v>
      </c>
      <c r="H251" s="5">
        <v>74.61</v>
      </c>
      <c r="I251" s="5">
        <v>71.36</v>
      </c>
      <c r="J251" s="5">
        <v>13</v>
      </c>
      <c r="K251" s="5" t="s">
        <v>4</v>
      </c>
      <c r="L251" s="5" t="str">
        <f t="shared" si="3"/>
        <v>Pending</v>
      </c>
      <c r="M251" t="str" cm="1">
        <f t="array" ref="M251">_xlfn.IFS(B251="Alpha_Inc","S001", B251="Delta_Logistics","S002", B251="Gamma_Co","S003", B251="Beta_Supplies","S004", B251="Epsilon_Group","S005")</f>
        <v>S005</v>
      </c>
      <c r="N251" t="str" cm="1">
        <f t="array" ref="N251">_xlfn.IFS(E251="Electronics","P001", E251="MRO","P002", E251="Office Supplies","P003", E251="Packaging","P004", E251="Raw Materials","P005")</f>
        <v>P004</v>
      </c>
    </row>
    <row r="252" spans="1:14" x14ac:dyDescent="0.2">
      <c r="A252" s="1" t="s">
        <v>266</v>
      </c>
      <c r="B252" s="2" t="s">
        <v>18</v>
      </c>
      <c r="C252" s="3">
        <v>45046</v>
      </c>
      <c r="D252" s="3">
        <v>45066</v>
      </c>
      <c r="E252" s="2" t="s">
        <v>2</v>
      </c>
      <c r="F252" s="2" t="s">
        <v>22</v>
      </c>
      <c r="G252" s="2">
        <v>1750</v>
      </c>
      <c r="H252" s="2">
        <v>65.97</v>
      </c>
      <c r="I252" s="2">
        <v>58.34</v>
      </c>
      <c r="J252" s="2">
        <v>50</v>
      </c>
      <c r="K252" s="2" t="s">
        <v>4</v>
      </c>
      <c r="L252" s="2" t="str">
        <f t="shared" si="3"/>
        <v>Partially Delivered</v>
      </c>
      <c r="M252" t="str" cm="1">
        <f t="array" ref="M252">_xlfn.IFS(B252="Alpha_Inc","S001", B252="Delta_Logistics","S002", B252="Gamma_Co","S003", B252="Beta_Supplies","S004", B252="Epsilon_Group","S005")</f>
        <v>S005</v>
      </c>
      <c r="N252" t="str" cm="1">
        <f t="array" ref="N252">_xlfn.IFS(E252="Electronics","P001", E252="MRO","P002", E252="Office Supplies","P003", E252="Packaging","P004", E252="Raw Materials","P005")</f>
        <v>P003</v>
      </c>
    </row>
    <row r="253" spans="1:14" x14ac:dyDescent="0.2">
      <c r="A253" s="4" t="s">
        <v>267</v>
      </c>
      <c r="B253" s="5" t="s">
        <v>6</v>
      </c>
      <c r="C253" s="6">
        <v>44810</v>
      </c>
      <c r="D253" s="6">
        <v>44828</v>
      </c>
      <c r="E253" s="5" t="s">
        <v>2</v>
      </c>
      <c r="F253" s="5" t="s">
        <v>22</v>
      </c>
      <c r="G253" s="5">
        <v>1298</v>
      </c>
      <c r="H253" s="5">
        <v>43.73</v>
      </c>
      <c r="I253" s="5">
        <v>37.21</v>
      </c>
      <c r="J253" s="5">
        <v>0</v>
      </c>
      <c r="K253" s="5" t="s">
        <v>16</v>
      </c>
      <c r="L253" s="5" t="str">
        <f t="shared" si="3"/>
        <v>Partially Delivered</v>
      </c>
      <c r="M253" t="str" cm="1">
        <f t="array" ref="M253">_xlfn.IFS(B253="Alpha_Inc","S001", B253="Delta_Logistics","S002", B253="Gamma_Co","S003", B253="Beta_Supplies","S004", B253="Epsilon_Group","S005")</f>
        <v>S002</v>
      </c>
      <c r="N253" t="str" cm="1">
        <f t="array" ref="N253">_xlfn.IFS(E253="Electronics","P001", E253="MRO","P002", E253="Office Supplies","P003", E253="Packaging","P004", E253="Raw Materials","P005")</f>
        <v>P003</v>
      </c>
    </row>
    <row r="254" spans="1:14" x14ac:dyDescent="0.2">
      <c r="A254" s="1" t="s">
        <v>268</v>
      </c>
      <c r="B254" s="2" t="s">
        <v>9</v>
      </c>
      <c r="C254" s="3">
        <v>45046</v>
      </c>
      <c r="D254" s="3">
        <v>45066</v>
      </c>
      <c r="E254" s="2" t="s">
        <v>13</v>
      </c>
      <c r="F254" s="2" t="s">
        <v>7</v>
      </c>
      <c r="G254" s="2">
        <v>1892</v>
      </c>
      <c r="H254" s="2">
        <v>106.2</v>
      </c>
      <c r="I254" s="2">
        <v>96.37</v>
      </c>
      <c r="J254" s="2">
        <v>93</v>
      </c>
      <c r="K254" s="2" t="s">
        <v>4</v>
      </c>
      <c r="L254" s="2" t="str">
        <f t="shared" si="3"/>
        <v>Delivered</v>
      </c>
      <c r="M254" t="str" cm="1">
        <f t="array" ref="M254">_xlfn.IFS(B254="Alpha_Inc","S001", B254="Delta_Logistics","S002", B254="Gamma_Co","S003", B254="Beta_Supplies","S004", B254="Epsilon_Group","S005")</f>
        <v>S003</v>
      </c>
      <c r="N254" t="str" cm="1">
        <f t="array" ref="N254">_xlfn.IFS(E254="Electronics","P001", E254="MRO","P002", E254="Office Supplies","P003", E254="Packaging","P004", E254="Raw Materials","P005")</f>
        <v>P004</v>
      </c>
    </row>
    <row r="255" spans="1:14" x14ac:dyDescent="0.2">
      <c r="A255" s="4" t="s">
        <v>269</v>
      </c>
      <c r="B255" s="5" t="s">
        <v>12</v>
      </c>
      <c r="C255" s="6">
        <v>44978</v>
      </c>
      <c r="D255" s="6">
        <v>44981</v>
      </c>
      <c r="E255" s="5" t="s">
        <v>28</v>
      </c>
      <c r="F255" s="5" t="s">
        <v>7</v>
      </c>
      <c r="G255" s="5">
        <v>1307</v>
      </c>
      <c r="H255" s="5">
        <v>68.709999999999994</v>
      </c>
      <c r="I255" s="5">
        <v>60.64</v>
      </c>
      <c r="J255" s="5">
        <v>141</v>
      </c>
      <c r="K255" s="5" t="s">
        <v>4</v>
      </c>
      <c r="L255" s="5" t="str">
        <f t="shared" si="3"/>
        <v>Delivered</v>
      </c>
      <c r="M255" t="str" cm="1">
        <f t="array" ref="M255">_xlfn.IFS(B255="Alpha_Inc","S001", B255="Delta_Logistics","S002", B255="Gamma_Co","S003", B255="Beta_Supplies","S004", B255="Epsilon_Group","S005")</f>
        <v>S004</v>
      </c>
      <c r="N255" t="str" cm="1">
        <f t="array" ref="N255">_xlfn.IFS(E255="Electronics","P001", E255="MRO","P002", E255="Office Supplies","P003", E255="Packaging","P004", E255="Raw Materials","P005")</f>
        <v>P001</v>
      </c>
    </row>
    <row r="256" spans="1:14" x14ac:dyDescent="0.2">
      <c r="A256" s="1" t="s">
        <v>270</v>
      </c>
      <c r="B256" s="2" t="s">
        <v>12</v>
      </c>
      <c r="C256" s="3">
        <v>44756</v>
      </c>
      <c r="D256" s="3">
        <v>44771</v>
      </c>
      <c r="E256" s="2" t="s">
        <v>28</v>
      </c>
      <c r="F256" s="2" t="s">
        <v>7</v>
      </c>
      <c r="G256" s="2">
        <v>733</v>
      </c>
      <c r="H256" s="2">
        <v>32.29</v>
      </c>
      <c r="I256" s="2">
        <v>29.01</v>
      </c>
      <c r="J256" s="2">
        <v>78</v>
      </c>
      <c r="K256" s="2" t="s">
        <v>4</v>
      </c>
      <c r="L256" s="2" t="str">
        <f t="shared" si="3"/>
        <v>Delivered</v>
      </c>
      <c r="M256" t="str" cm="1">
        <f t="array" ref="M256">_xlfn.IFS(B256="Alpha_Inc","S001", B256="Delta_Logistics","S002", B256="Gamma_Co","S003", B256="Beta_Supplies","S004", B256="Epsilon_Group","S005")</f>
        <v>S004</v>
      </c>
      <c r="N256" t="str" cm="1">
        <f t="array" ref="N256">_xlfn.IFS(E256="Electronics","P001", E256="MRO","P002", E256="Office Supplies","P003", E256="Packaging","P004", E256="Raw Materials","P005")</f>
        <v>P001</v>
      </c>
    </row>
    <row r="257" spans="1:14" x14ac:dyDescent="0.2">
      <c r="A257" s="4" t="s">
        <v>271</v>
      </c>
      <c r="B257" s="5" t="s">
        <v>9</v>
      </c>
      <c r="C257" s="6">
        <v>44658</v>
      </c>
      <c r="D257" s="6">
        <f>Table1[[#This Row],[Order_Date]]+14</f>
        <v>44672</v>
      </c>
      <c r="E257" s="5" t="s">
        <v>13</v>
      </c>
      <c r="F257" s="5" t="s">
        <v>7</v>
      </c>
      <c r="G257" s="5">
        <v>713</v>
      </c>
      <c r="H257" s="5">
        <v>19.45</v>
      </c>
      <c r="I257" s="5">
        <v>18.82</v>
      </c>
      <c r="J257" s="5">
        <v>31</v>
      </c>
      <c r="K257" s="5" t="s">
        <v>4</v>
      </c>
      <c r="L257" s="5" t="str">
        <f t="shared" si="3"/>
        <v>Delivered</v>
      </c>
      <c r="M257" t="str" cm="1">
        <f t="array" ref="M257">_xlfn.IFS(B257="Alpha_Inc","S001", B257="Delta_Logistics","S002", B257="Gamma_Co","S003", B257="Beta_Supplies","S004", B257="Epsilon_Group","S005")</f>
        <v>S003</v>
      </c>
      <c r="N257" t="str" cm="1">
        <f t="array" ref="N257">_xlfn.IFS(E257="Electronics","P001", E257="MRO","P002", E257="Office Supplies","P003", E257="Packaging","P004", E257="Raw Materials","P005")</f>
        <v>P004</v>
      </c>
    </row>
    <row r="258" spans="1:14" x14ac:dyDescent="0.2">
      <c r="A258" s="1" t="s">
        <v>272</v>
      </c>
      <c r="B258" s="2" t="s">
        <v>12</v>
      </c>
      <c r="C258" s="3">
        <v>44661</v>
      </c>
      <c r="D258" s="3">
        <v>44675</v>
      </c>
      <c r="E258" s="2" t="s">
        <v>13</v>
      </c>
      <c r="F258" s="2" t="s">
        <v>7</v>
      </c>
      <c r="G258" s="2">
        <v>1900</v>
      </c>
      <c r="H258" s="2">
        <v>24.11</v>
      </c>
      <c r="I258" s="2">
        <v>23.45</v>
      </c>
      <c r="J258" s="2">
        <v>188</v>
      </c>
      <c r="K258" s="2" t="s">
        <v>4</v>
      </c>
      <c r="L258" s="2" t="str">
        <f t="shared" ref="L258:L321" si="4">IF(F258="Delivered", IF(E258="","Date Missing","Delivered"), F258)</f>
        <v>Delivered</v>
      </c>
      <c r="M258" t="str" cm="1">
        <f t="array" ref="M258">_xlfn.IFS(B258="Alpha_Inc","S001", B258="Delta_Logistics","S002", B258="Gamma_Co","S003", B258="Beta_Supplies","S004", B258="Epsilon_Group","S005")</f>
        <v>S004</v>
      </c>
      <c r="N258" t="str" cm="1">
        <f t="array" ref="N258">_xlfn.IFS(E258="Electronics","P001", E258="MRO","P002", E258="Office Supplies","P003", E258="Packaging","P004", E258="Raw Materials","P005")</f>
        <v>P004</v>
      </c>
    </row>
    <row r="259" spans="1:14" x14ac:dyDescent="0.2">
      <c r="A259" s="4" t="s">
        <v>273</v>
      </c>
      <c r="B259" s="5" t="s">
        <v>6</v>
      </c>
      <c r="C259" s="6">
        <v>45236</v>
      </c>
      <c r="D259" s="6">
        <v>45238</v>
      </c>
      <c r="E259" s="5" t="s">
        <v>10</v>
      </c>
      <c r="F259" s="5" t="s">
        <v>3</v>
      </c>
      <c r="G259" s="5">
        <v>1447</v>
      </c>
      <c r="H259" s="5">
        <v>35.67</v>
      </c>
      <c r="I259" s="5">
        <v>35.07</v>
      </c>
      <c r="J259" s="5">
        <v>224</v>
      </c>
      <c r="K259" s="5" t="s">
        <v>16</v>
      </c>
      <c r="L259" s="5" t="str">
        <f t="shared" si="4"/>
        <v>Cancelled</v>
      </c>
      <c r="M259" t="str" cm="1">
        <f t="array" ref="M259">_xlfn.IFS(B259="Alpha_Inc","S001", B259="Delta_Logistics","S002", B259="Gamma_Co","S003", B259="Beta_Supplies","S004", B259="Epsilon_Group","S005")</f>
        <v>S002</v>
      </c>
      <c r="N259" t="str" cm="1">
        <f t="array" ref="N259">_xlfn.IFS(E259="Electronics","P001", E259="MRO","P002", E259="Office Supplies","P003", E259="Packaging","P004", E259="Raw Materials","P005")</f>
        <v>P002</v>
      </c>
    </row>
    <row r="260" spans="1:14" x14ac:dyDescent="0.2">
      <c r="A260" s="1" t="s">
        <v>274</v>
      </c>
      <c r="B260" s="2" t="s">
        <v>18</v>
      </c>
      <c r="C260" s="3">
        <v>45003</v>
      </c>
      <c r="D260" s="3">
        <f>Table1[[#This Row],[Order_Date]]+14</f>
        <v>45017</v>
      </c>
      <c r="E260" s="2" t="s">
        <v>2</v>
      </c>
      <c r="F260" s="2" t="s">
        <v>7</v>
      </c>
      <c r="G260" s="2">
        <v>1745</v>
      </c>
      <c r="H260" s="2">
        <v>26.17</v>
      </c>
      <c r="I260" s="2">
        <v>22.25</v>
      </c>
      <c r="J260" s="2">
        <v>55</v>
      </c>
      <c r="K260" s="2" t="s">
        <v>4</v>
      </c>
      <c r="L260" s="2" t="str">
        <f t="shared" si="4"/>
        <v>Delivered</v>
      </c>
      <c r="M260" t="str" cm="1">
        <f t="array" ref="M260">_xlfn.IFS(B260="Alpha_Inc","S001", B260="Delta_Logistics","S002", B260="Gamma_Co","S003", B260="Beta_Supplies","S004", B260="Epsilon_Group","S005")</f>
        <v>S005</v>
      </c>
      <c r="N260" t="str" cm="1">
        <f t="array" ref="N260">_xlfn.IFS(E260="Electronics","P001", E260="MRO","P002", E260="Office Supplies","P003", E260="Packaging","P004", E260="Raw Materials","P005")</f>
        <v>P003</v>
      </c>
    </row>
    <row r="261" spans="1:14" x14ac:dyDescent="0.2">
      <c r="A261" s="4" t="s">
        <v>275</v>
      </c>
      <c r="B261" s="5" t="s">
        <v>12</v>
      </c>
      <c r="C261" s="6">
        <v>44924</v>
      </c>
      <c r="D261" s="6">
        <v>44940</v>
      </c>
      <c r="E261" s="5" t="s">
        <v>2</v>
      </c>
      <c r="F261" s="5" t="s">
        <v>7</v>
      </c>
      <c r="G261" s="5">
        <v>1681</v>
      </c>
      <c r="H261" s="5">
        <v>28.26</v>
      </c>
      <c r="I261" s="5">
        <v>26.62</v>
      </c>
      <c r="J261" s="5">
        <v>143</v>
      </c>
      <c r="K261" s="5" t="s">
        <v>4</v>
      </c>
      <c r="L261" s="5" t="str">
        <f t="shared" si="4"/>
        <v>Delivered</v>
      </c>
      <c r="M261" t="str" cm="1">
        <f t="array" ref="M261">_xlfn.IFS(B261="Alpha_Inc","S001", B261="Delta_Logistics","S002", B261="Gamma_Co","S003", B261="Beta_Supplies","S004", B261="Epsilon_Group","S005")</f>
        <v>S004</v>
      </c>
      <c r="N261" t="str" cm="1">
        <f t="array" ref="N261">_xlfn.IFS(E261="Electronics","P001", E261="MRO","P002", E261="Office Supplies","P003", E261="Packaging","P004", E261="Raw Materials","P005")</f>
        <v>P003</v>
      </c>
    </row>
    <row r="262" spans="1:14" x14ac:dyDescent="0.2">
      <c r="A262" s="1" t="s">
        <v>276</v>
      </c>
      <c r="B262" s="2" t="s">
        <v>6</v>
      </c>
      <c r="C262" s="3">
        <v>44995</v>
      </c>
      <c r="D262" s="3">
        <v>45003</v>
      </c>
      <c r="E262" s="2" t="s">
        <v>28</v>
      </c>
      <c r="F262" s="2" t="s">
        <v>7</v>
      </c>
      <c r="G262" s="2">
        <v>1545</v>
      </c>
      <c r="H262" s="2">
        <v>38.15</v>
      </c>
      <c r="I262" s="2">
        <v>36.96</v>
      </c>
      <c r="J262" s="2">
        <v>214</v>
      </c>
      <c r="K262" s="2" t="s">
        <v>4</v>
      </c>
      <c r="L262" s="2" t="str">
        <f t="shared" si="4"/>
        <v>Delivered</v>
      </c>
      <c r="M262" t="str" cm="1">
        <f t="array" ref="M262">_xlfn.IFS(B262="Alpha_Inc","S001", B262="Delta_Logistics","S002", B262="Gamma_Co","S003", B262="Beta_Supplies","S004", B262="Epsilon_Group","S005")</f>
        <v>S002</v>
      </c>
      <c r="N262" t="str" cm="1">
        <f t="array" ref="N262">_xlfn.IFS(E262="Electronics","P001", E262="MRO","P002", E262="Office Supplies","P003", E262="Packaging","P004", E262="Raw Materials","P005")</f>
        <v>P001</v>
      </c>
    </row>
    <row r="263" spans="1:14" x14ac:dyDescent="0.2">
      <c r="A263" s="4" t="s">
        <v>277</v>
      </c>
      <c r="B263" s="5" t="s">
        <v>18</v>
      </c>
      <c r="C263" s="6">
        <v>44982</v>
      </c>
      <c r="D263" s="6">
        <v>44987</v>
      </c>
      <c r="E263" s="5" t="s">
        <v>15</v>
      </c>
      <c r="F263" s="5" t="s">
        <v>7</v>
      </c>
      <c r="G263" s="5">
        <v>1306</v>
      </c>
      <c r="H263" s="5">
        <v>27.27</v>
      </c>
      <c r="I263" s="5">
        <v>25.96</v>
      </c>
      <c r="J263" s="5">
        <v>39</v>
      </c>
      <c r="K263" s="5" t="s">
        <v>4</v>
      </c>
      <c r="L263" s="5" t="str">
        <f t="shared" si="4"/>
        <v>Delivered</v>
      </c>
      <c r="M263" t="str" cm="1">
        <f t="array" ref="M263">_xlfn.IFS(B263="Alpha_Inc","S001", B263="Delta_Logistics","S002", B263="Gamma_Co","S003", B263="Beta_Supplies","S004", B263="Epsilon_Group","S005")</f>
        <v>S005</v>
      </c>
      <c r="N263" t="str" cm="1">
        <f t="array" ref="N263">_xlfn.IFS(E263="Electronics","P001", E263="MRO","P002", E263="Office Supplies","P003", E263="Packaging","P004", E263="Raw Materials","P005")</f>
        <v>P005</v>
      </c>
    </row>
    <row r="264" spans="1:14" x14ac:dyDescent="0.2">
      <c r="A264" s="1" t="s">
        <v>278</v>
      </c>
      <c r="B264" s="2" t="s">
        <v>9</v>
      </c>
      <c r="C264" s="3">
        <v>45040</v>
      </c>
      <c r="D264" s="3">
        <v>45052</v>
      </c>
      <c r="E264" s="2" t="s">
        <v>15</v>
      </c>
      <c r="F264" s="2" t="s">
        <v>7</v>
      </c>
      <c r="G264" s="2">
        <v>1765</v>
      </c>
      <c r="H264" s="2">
        <v>97.51</v>
      </c>
      <c r="I264" s="2">
        <v>84.3</v>
      </c>
      <c r="J264" s="2">
        <v>65</v>
      </c>
      <c r="K264" s="2" t="s">
        <v>4</v>
      </c>
      <c r="L264" s="2" t="str">
        <f t="shared" si="4"/>
        <v>Delivered</v>
      </c>
      <c r="M264" t="str" cm="1">
        <f t="array" ref="M264">_xlfn.IFS(B264="Alpha_Inc","S001", B264="Delta_Logistics","S002", B264="Gamma_Co","S003", B264="Beta_Supplies","S004", B264="Epsilon_Group","S005")</f>
        <v>S003</v>
      </c>
      <c r="N264" t="str" cm="1">
        <f t="array" ref="N264">_xlfn.IFS(E264="Electronics","P001", E264="MRO","P002", E264="Office Supplies","P003", E264="Packaging","P004", E264="Raw Materials","P005")</f>
        <v>P005</v>
      </c>
    </row>
    <row r="265" spans="1:14" x14ac:dyDescent="0.2">
      <c r="A265" s="4" t="s">
        <v>279</v>
      </c>
      <c r="B265" s="5" t="s">
        <v>9</v>
      </c>
      <c r="C265" s="6">
        <v>44617</v>
      </c>
      <c r="D265" s="6">
        <v>44635</v>
      </c>
      <c r="E265" s="5" t="s">
        <v>13</v>
      </c>
      <c r="F265" s="5" t="s">
        <v>3</v>
      </c>
      <c r="G265" s="5">
        <v>1186</v>
      </c>
      <c r="H265" s="5">
        <v>17.309999999999999</v>
      </c>
      <c r="I265" s="5">
        <v>16</v>
      </c>
      <c r="J265" s="5">
        <v>64</v>
      </c>
      <c r="K265" s="5" t="s">
        <v>4</v>
      </c>
      <c r="L265" s="5" t="str">
        <f t="shared" si="4"/>
        <v>Cancelled</v>
      </c>
      <c r="M265" t="str" cm="1">
        <f t="array" ref="M265">_xlfn.IFS(B265="Alpha_Inc","S001", B265="Delta_Logistics","S002", B265="Gamma_Co","S003", B265="Beta_Supplies","S004", B265="Epsilon_Group","S005")</f>
        <v>S003</v>
      </c>
      <c r="N265" t="str" cm="1">
        <f t="array" ref="N265">_xlfn.IFS(E265="Electronics","P001", E265="MRO","P002", E265="Office Supplies","P003", E265="Packaging","P004", E265="Raw Materials","P005")</f>
        <v>P004</v>
      </c>
    </row>
    <row r="266" spans="1:14" x14ac:dyDescent="0.2">
      <c r="A266" s="1" t="s">
        <v>280</v>
      </c>
      <c r="B266" s="2" t="s">
        <v>6</v>
      </c>
      <c r="C266" s="3">
        <v>45251</v>
      </c>
      <c r="D266" s="3">
        <v>45256</v>
      </c>
      <c r="E266" s="2" t="s">
        <v>13</v>
      </c>
      <c r="F266" s="2" t="s">
        <v>7</v>
      </c>
      <c r="G266" s="2">
        <v>1903</v>
      </c>
      <c r="H266" s="2">
        <v>63.5</v>
      </c>
      <c r="I266" s="2">
        <v>56.09</v>
      </c>
      <c r="J266" s="2">
        <v>254</v>
      </c>
      <c r="K266" s="2" t="s">
        <v>4</v>
      </c>
      <c r="L266" s="2" t="str">
        <f t="shared" si="4"/>
        <v>Delivered</v>
      </c>
      <c r="M266" t="str" cm="1">
        <f t="array" ref="M266">_xlfn.IFS(B266="Alpha_Inc","S001", B266="Delta_Logistics","S002", B266="Gamma_Co","S003", B266="Beta_Supplies","S004", B266="Epsilon_Group","S005")</f>
        <v>S002</v>
      </c>
      <c r="N266" t="str" cm="1">
        <f t="array" ref="N266">_xlfn.IFS(E266="Electronics","P001", E266="MRO","P002", E266="Office Supplies","P003", E266="Packaging","P004", E266="Raw Materials","P005")</f>
        <v>P004</v>
      </c>
    </row>
    <row r="267" spans="1:14" x14ac:dyDescent="0.2">
      <c r="A267" s="4" t="s">
        <v>281</v>
      </c>
      <c r="B267" s="5" t="s">
        <v>6</v>
      </c>
      <c r="C267" s="6">
        <v>45231</v>
      </c>
      <c r="D267" s="6">
        <v>45235</v>
      </c>
      <c r="E267" s="5" t="s">
        <v>10</v>
      </c>
      <c r="F267" s="5" t="s">
        <v>7</v>
      </c>
      <c r="G267" s="5">
        <v>1570</v>
      </c>
      <c r="H267" s="5">
        <v>52.1</v>
      </c>
      <c r="I267" s="5">
        <v>47.87</v>
      </c>
      <c r="J267" s="5">
        <v>0</v>
      </c>
      <c r="K267" s="5" t="s">
        <v>16</v>
      </c>
      <c r="L267" s="5" t="str">
        <f t="shared" si="4"/>
        <v>Delivered</v>
      </c>
      <c r="M267" t="str" cm="1">
        <f t="array" ref="M267">_xlfn.IFS(B267="Alpha_Inc","S001", B267="Delta_Logistics","S002", B267="Gamma_Co","S003", B267="Beta_Supplies","S004", B267="Epsilon_Group","S005")</f>
        <v>S002</v>
      </c>
      <c r="N267" t="str" cm="1">
        <f t="array" ref="N267">_xlfn.IFS(E267="Electronics","P001", E267="MRO","P002", E267="Office Supplies","P003", E267="Packaging","P004", E267="Raw Materials","P005")</f>
        <v>P002</v>
      </c>
    </row>
    <row r="268" spans="1:14" x14ac:dyDescent="0.2">
      <c r="A268" s="1" t="s">
        <v>282</v>
      </c>
      <c r="B268" s="2" t="s">
        <v>6</v>
      </c>
      <c r="C268" s="3">
        <v>45223</v>
      </c>
      <c r="D268" s="3">
        <v>45243</v>
      </c>
      <c r="E268" s="2" t="s">
        <v>10</v>
      </c>
      <c r="F268" s="2" t="s">
        <v>7</v>
      </c>
      <c r="G268" s="2">
        <v>491</v>
      </c>
      <c r="H268" s="2">
        <v>108.75</v>
      </c>
      <c r="I268" s="2">
        <v>93.35</v>
      </c>
      <c r="J268" s="2">
        <v>0</v>
      </c>
      <c r="K268" s="2" t="s">
        <v>16</v>
      </c>
      <c r="L268" s="2" t="str">
        <f t="shared" si="4"/>
        <v>Delivered</v>
      </c>
      <c r="M268" t="str" cm="1">
        <f t="array" ref="M268">_xlfn.IFS(B268="Alpha_Inc","S001", B268="Delta_Logistics","S002", B268="Gamma_Co","S003", B268="Beta_Supplies","S004", B268="Epsilon_Group","S005")</f>
        <v>S002</v>
      </c>
      <c r="N268" t="str" cm="1">
        <f t="array" ref="N268">_xlfn.IFS(E268="Electronics","P001", E268="MRO","P002", E268="Office Supplies","P003", E268="Packaging","P004", E268="Raw Materials","P005")</f>
        <v>P002</v>
      </c>
    </row>
    <row r="269" spans="1:14" x14ac:dyDescent="0.2">
      <c r="A269" s="4" t="s">
        <v>283</v>
      </c>
      <c r="B269" s="5" t="s">
        <v>12</v>
      </c>
      <c r="C269" s="6">
        <v>44662</v>
      </c>
      <c r="D269" s="6">
        <v>44671</v>
      </c>
      <c r="E269" s="5" t="s">
        <v>28</v>
      </c>
      <c r="F269" s="5" t="s">
        <v>22</v>
      </c>
      <c r="G269" s="5">
        <v>613</v>
      </c>
      <c r="H269" s="5">
        <v>20.38</v>
      </c>
      <c r="I269" s="5">
        <v>20.170000000000002</v>
      </c>
      <c r="J269" s="5">
        <v>58</v>
      </c>
      <c r="K269" s="5" t="s">
        <v>4</v>
      </c>
      <c r="L269" s="5" t="str">
        <f t="shared" si="4"/>
        <v>Partially Delivered</v>
      </c>
      <c r="M269" t="str" cm="1">
        <f t="array" ref="M269">_xlfn.IFS(B269="Alpha_Inc","S001", B269="Delta_Logistics","S002", B269="Gamma_Co","S003", B269="Beta_Supplies","S004", B269="Epsilon_Group","S005")</f>
        <v>S004</v>
      </c>
      <c r="N269" t="str" cm="1">
        <f t="array" ref="N269">_xlfn.IFS(E269="Electronics","P001", E269="MRO","P002", E269="Office Supplies","P003", E269="Packaging","P004", E269="Raw Materials","P005")</f>
        <v>P001</v>
      </c>
    </row>
    <row r="270" spans="1:14" x14ac:dyDescent="0.2">
      <c r="A270" s="1" t="s">
        <v>284</v>
      </c>
      <c r="B270" s="2" t="s">
        <v>9</v>
      </c>
      <c r="C270" s="3">
        <v>44624</v>
      </c>
      <c r="D270" s="3">
        <v>44636</v>
      </c>
      <c r="E270" s="2" t="s">
        <v>15</v>
      </c>
      <c r="F270" s="2" t="s">
        <v>22</v>
      </c>
      <c r="G270" s="2">
        <v>1341</v>
      </c>
      <c r="H270" s="2">
        <v>46.27</v>
      </c>
      <c r="I270" s="2">
        <v>43.94</v>
      </c>
      <c r="J270" s="2">
        <v>63</v>
      </c>
      <c r="K270" s="2" t="s">
        <v>4</v>
      </c>
      <c r="L270" s="2" t="str">
        <f t="shared" si="4"/>
        <v>Partially Delivered</v>
      </c>
      <c r="M270" t="str" cm="1">
        <f t="array" ref="M270">_xlfn.IFS(B270="Alpha_Inc","S001", B270="Delta_Logistics","S002", B270="Gamma_Co","S003", B270="Beta_Supplies","S004", B270="Epsilon_Group","S005")</f>
        <v>S003</v>
      </c>
      <c r="N270" t="str" cm="1">
        <f t="array" ref="N270">_xlfn.IFS(E270="Electronics","P001", E270="MRO","P002", E270="Office Supplies","P003", E270="Packaging","P004", E270="Raw Materials","P005")</f>
        <v>P005</v>
      </c>
    </row>
    <row r="271" spans="1:14" x14ac:dyDescent="0.2">
      <c r="A271" s="4" t="s">
        <v>285</v>
      </c>
      <c r="B271" s="5" t="s">
        <v>12</v>
      </c>
      <c r="C271" s="6">
        <v>44974</v>
      </c>
      <c r="D271" s="6">
        <v>44989</v>
      </c>
      <c r="E271" s="5" t="s">
        <v>10</v>
      </c>
      <c r="F271" s="5" t="s">
        <v>22</v>
      </c>
      <c r="G271" s="5">
        <v>1583</v>
      </c>
      <c r="H271" s="5">
        <v>103.57</v>
      </c>
      <c r="I271" s="5">
        <v>89.38</v>
      </c>
      <c r="J271" s="5">
        <v>164</v>
      </c>
      <c r="K271" s="5" t="s">
        <v>4</v>
      </c>
      <c r="L271" s="5" t="str">
        <f t="shared" si="4"/>
        <v>Partially Delivered</v>
      </c>
      <c r="M271" t="str" cm="1">
        <f t="array" ref="M271">_xlfn.IFS(B271="Alpha_Inc","S001", B271="Delta_Logistics","S002", B271="Gamma_Co","S003", B271="Beta_Supplies","S004", B271="Epsilon_Group","S005")</f>
        <v>S004</v>
      </c>
      <c r="N271" t="str" cm="1">
        <f t="array" ref="N271">_xlfn.IFS(E271="Electronics","P001", E271="MRO","P002", E271="Office Supplies","P003", E271="Packaging","P004", E271="Raw Materials","P005")</f>
        <v>P002</v>
      </c>
    </row>
    <row r="272" spans="1:14" x14ac:dyDescent="0.2">
      <c r="A272" s="1" t="s">
        <v>286</v>
      </c>
      <c r="B272" s="2" t="s">
        <v>12</v>
      </c>
      <c r="C272" s="3">
        <v>44909</v>
      </c>
      <c r="D272" s="3">
        <f>Table1[[#This Row],[Order_Date]]+14</f>
        <v>44923</v>
      </c>
      <c r="E272" s="2" t="s">
        <v>15</v>
      </c>
      <c r="F272" s="2" t="s">
        <v>3</v>
      </c>
      <c r="G272" s="2">
        <v>1880</v>
      </c>
      <c r="H272" s="2">
        <v>92.73</v>
      </c>
      <c r="I272" s="2">
        <v>90.78</v>
      </c>
      <c r="J272" s="2">
        <v>173</v>
      </c>
      <c r="K272" s="2" t="s">
        <v>4</v>
      </c>
      <c r="L272" s="2" t="str">
        <f t="shared" si="4"/>
        <v>Cancelled</v>
      </c>
      <c r="M272" t="str" cm="1">
        <f t="array" ref="M272">_xlfn.IFS(B272="Alpha_Inc","S001", B272="Delta_Logistics","S002", B272="Gamma_Co","S003", B272="Beta_Supplies","S004", B272="Epsilon_Group","S005")</f>
        <v>S004</v>
      </c>
      <c r="N272" t="str" cm="1">
        <f t="array" ref="N272">_xlfn.IFS(E272="Electronics","P001", E272="MRO","P002", E272="Office Supplies","P003", E272="Packaging","P004", E272="Raw Materials","P005")</f>
        <v>P005</v>
      </c>
    </row>
    <row r="273" spans="1:14" x14ac:dyDescent="0.2">
      <c r="A273" s="4" t="s">
        <v>287</v>
      </c>
      <c r="B273" s="5" t="s">
        <v>18</v>
      </c>
      <c r="C273" s="6">
        <v>44673</v>
      </c>
      <c r="D273" s="6">
        <v>44677</v>
      </c>
      <c r="E273" s="5" t="s">
        <v>10</v>
      </c>
      <c r="F273" s="5" t="s">
        <v>7</v>
      </c>
      <c r="G273" s="5">
        <v>1459</v>
      </c>
      <c r="H273" s="5">
        <v>84.79</v>
      </c>
      <c r="I273" s="5">
        <v>82.72</v>
      </c>
      <c r="J273" s="5">
        <v>47</v>
      </c>
      <c r="K273" s="5" t="s">
        <v>4</v>
      </c>
      <c r="L273" s="5" t="str">
        <f t="shared" si="4"/>
        <v>Delivered</v>
      </c>
      <c r="M273" t="str" cm="1">
        <f t="array" ref="M273">_xlfn.IFS(B273="Alpha_Inc","S001", B273="Delta_Logistics","S002", B273="Gamma_Co","S003", B273="Beta_Supplies","S004", B273="Epsilon_Group","S005")</f>
        <v>S005</v>
      </c>
      <c r="N273" t="str" cm="1">
        <f t="array" ref="N273">_xlfn.IFS(E273="Electronics","P001", E273="MRO","P002", E273="Office Supplies","P003", E273="Packaging","P004", E273="Raw Materials","P005")</f>
        <v>P002</v>
      </c>
    </row>
    <row r="274" spans="1:14" x14ac:dyDescent="0.2">
      <c r="A274" s="1" t="s">
        <v>288</v>
      </c>
      <c r="B274" s="2" t="s">
        <v>6</v>
      </c>
      <c r="C274" s="3">
        <v>44816</v>
      </c>
      <c r="D274" s="3">
        <f>Table1[[#This Row],[Order_Date]]+14</f>
        <v>44830</v>
      </c>
      <c r="E274" s="2" t="s">
        <v>2</v>
      </c>
      <c r="F274" s="2" t="s">
        <v>7</v>
      </c>
      <c r="G274" s="2">
        <v>1460</v>
      </c>
      <c r="H274" s="2">
        <v>34.54</v>
      </c>
      <c r="I274" s="2">
        <v>31.87</v>
      </c>
      <c r="J274" s="2">
        <v>208</v>
      </c>
      <c r="K274" s="2" t="s">
        <v>16</v>
      </c>
      <c r="L274" s="2" t="str">
        <f t="shared" si="4"/>
        <v>Delivered</v>
      </c>
      <c r="M274" t="str" cm="1">
        <f t="array" ref="M274">_xlfn.IFS(B274="Alpha_Inc","S001", B274="Delta_Logistics","S002", B274="Gamma_Co","S003", B274="Beta_Supplies","S004", B274="Epsilon_Group","S005")</f>
        <v>S002</v>
      </c>
      <c r="N274" t="str" cm="1">
        <f t="array" ref="N274">_xlfn.IFS(E274="Electronics","P001", E274="MRO","P002", E274="Office Supplies","P003", E274="Packaging","P004", E274="Raw Materials","P005")</f>
        <v>P003</v>
      </c>
    </row>
    <row r="275" spans="1:14" x14ac:dyDescent="0.2">
      <c r="A275" s="4" t="s">
        <v>289</v>
      </c>
      <c r="B275" s="5" t="s">
        <v>12</v>
      </c>
      <c r="C275" s="6">
        <v>44758</v>
      </c>
      <c r="D275" s="6">
        <v>44770</v>
      </c>
      <c r="E275" s="5" t="s">
        <v>13</v>
      </c>
      <c r="F275" s="5" t="s">
        <v>22</v>
      </c>
      <c r="G275" s="5">
        <v>1186</v>
      </c>
      <c r="H275" s="5">
        <v>26.14</v>
      </c>
      <c r="I275" s="5">
        <v>24.78</v>
      </c>
      <c r="J275" s="5">
        <v>112</v>
      </c>
      <c r="K275" s="5" t="s">
        <v>4</v>
      </c>
      <c r="L275" s="5" t="str">
        <f t="shared" si="4"/>
        <v>Partially Delivered</v>
      </c>
      <c r="M275" t="str" cm="1">
        <f t="array" ref="M275">_xlfn.IFS(B275="Alpha_Inc","S001", B275="Delta_Logistics","S002", B275="Gamma_Co","S003", B275="Beta_Supplies","S004", B275="Epsilon_Group","S005")</f>
        <v>S004</v>
      </c>
      <c r="N275" t="str" cm="1">
        <f t="array" ref="N275">_xlfn.IFS(E275="Electronics","P001", E275="MRO","P002", E275="Office Supplies","P003", E275="Packaging","P004", E275="Raw Materials","P005")</f>
        <v>P004</v>
      </c>
    </row>
    <row r="276" spans="1:14" x14ac:dyDescent="0.2">
      <c r="A276" s="1" t="s">
        <v>290</v>
      </c>
      <c r="B276" s="2" t="s">
        <v>18</v>
      </c>
      <c r="C276" s="3">
        <v>44756</v>
      </c>
      <c r="D276" s="3">
        <v>44765</v>
      </c>
      <c r="E276" s="2" t="s">
        <v>10</v>
      </c>
      <c r="F276" s="2" t="s">
        <v>24</v>
      </c>
      <c r="G276" s="2">
        <v>1686</v>
      </c>
      <c r="H276" s="2">
        <v>72.28</v>
      </c>
      <c r="I276" s="2">
        <v>65.209999999999994</v>
      </c>
      <c r="J276" s="2">
        <v>53</v>
      </c>
      <c r="K276" s="2" t="s">
        <v>4</v>
      </c>
      <c r="L276" s="2" t="str">
        <f t="shared" si="4"/>
        <v>Pending</v>
      </c>
      <c r="M276" t="str" cm="1">
        <f t="array" ref="M276">_xlfn.IFS(B276="Alpha_Inc","S001", B276="Delta_Logistics","S002", B276="Gamma_Co","S003", B276="Beta_Supplies","S004", B276="Epsilon_Group","S005")</f>
        <v>S005</v>
      </c>
      <c r="N276" t="str" cm="1">
        <f t="array" ref="N276">_xlfn.IFS(E276="Electronics","P001", E276="MRO","P002", E276="Office Supplies","P003", E276="Packaging","P004", E276="Raw Materials","P005")</f>
        <v>P002</v>
      </c>
    </row>
    <row r="277" spans="1:14" x14ac:dyDescent="0.2">
      <c r="A277" s="4" t="s">
        <v>291</v>
      </c>
      <c r="B277" s="5" t="s">
        <v>1</v>
      </c>
      <c r="C277" s="6">
        <v>45111</v>
      </c>
      <c r="D277" s="6">
        <v>45115</v>
      </c>
      <c r="E277" s="5" t="s">
        <v>10</v>
      </c>
      <c r="F277" s="5" t="s">
        <v>7</v>
      </c>
      <c r="G277" s="5">
        <v>1698</v>
      </c>
      <c r="H277" s="5">
        <v>102.07</v>
      </c>
      <c r="I277" s="5">
        <v>100.69</v>
      </c>
      <c r="J277" s="5">
        <v>28</v>
      </c>
      <c r="K277" s="5" t="s">
        <v>4</v>
      </c>
      <c r="L277" s="5" t="str">
        <f t="shared" si="4"/>
        <v>Delivered</v>
      </c>
      <c r="M277" t="str" cm="1">
        <f t="array" ref="M277">_xlfn.IFS(B277="Alpha_Inc","S001", B277="Delta_Logistics","S002", B277="Gamma_Co","S003", B277="Beta_Supplies","S004", B277="Epsilon_Group","S005")</f>
        <v>S001</v>
      </c>
      <c r="N277" t="str" cm="1">
        <f t="array" ref="N277">_xlfn.IFS(E277="Electronics","P001", E277="MRO","P002", E277="Office Supplies","P003", E277="Packaging","P004", E277="Raw Materials","P005")</f>
        <v>P002</v>
      </c>
    </row>
    <row r="278" spans="1:14" x14ac:dyDescent="0.2">
      <c r="A278" s="1" t="s">
        <v>292</v>
      </c>
      <c r="B278" s="2" t="s">
        <v>18</v>
      </c>
      <c r="C278" s="3">
        <v>45021</v>
      </c>
      <c r="D278" s="3">
        <f>Table1[[#This Row],[Order_Date]]+14</f>
        <v>45035</v>
      </c>
      <c r="E278" s="2" t="s">
        <v>28</v>
      </c>
      <c r="F278" s="2" t="s">
        <v>7</v>
      </c>
      <c r="G278" s="2">
        <v>1001</v>
      </c>
      <c r="H278" s="2">
        <v>64.62</v>
      </c>
      <c r="I278" s="2">
        <v>55.7</v>
      </c>
      <c r="J278" s="2">
        <v>32</v>
      </c>
      <c r="K278" s="2" t="s">
        <v>4</v>
      </c>
      <c r="L278" s="2" t="str">
        <f t="shared" si="4"/>
        <v>Delivered</v>
      </c>
      <c r="M278" t="str" cm="1">
        <f t="array" ref="M278">_xlfn.IFS(B278="Alpha_Inc","S001", B278="Delta_Logistics","S002", B278="Gamma_Co","S003", B278="Beta_Supplies","S004", B278="Epsilon_Group","S005")</f>
        <v>S005</v>
      </c>
      <c r="N278" t="str" cm="1">
        <f t="array" ref="N278">_xlfn.IFS(E278="Electronics","P001", E278="MRO","P002", E278="Office Supplies","P003", E278="Packaging","P004", E278="Raw Materials","P005")</f>
        <v>P001</v>
      </c>
    </row>
    <row r="279" spans="1:14" x14ac:dyDescent="0.2">
      <c r="A279" s="4" t="s">
        <v>293</v>
      </c>
      <c r="B279" s="5" t="s">
        <v>1</v>
      </c>
      <c r="C279" s="6">
        <v>44705</v>
      </c>
      <c r="D279" s="6">
        <v>44708</v>
      </c>
      <c r="E279" s="5" t="s">
        <v>2</v>
      </c>
      <c r="F279" s="5" t="s">
        <v>7</v>
      </c>
      <c r="G279" s="5">
        <v>1154</v>
      </c>
      <c r="H279" s="5">
        <v>62.67</v>
      </c>
      <c r="I279" s="5">
        <v>54.11</v>
      </c>
      <c r="J279" s="5">
        <v>25</v>
      </c>
      <c r="K279" s="5" t="s">
        <v>4</v>
      </c>
      <c r="L279" s="5" t="str">
        <f t="shared" si="4"/>
        <v>Delivered</v>
      </c>
      <c r="M279" t="str" cm="1">
        <f t="array" ref="M279">_xlfn.IFS(B279="Alpha_Inc","S001", B279="Delta_Logistics","S002", B279="Gamma_Co","S003", B279="Beta_Supplies","S004", B279="Epsilon_Group","S005")</f>
        <v>S001</v>
      </c>
      <c r="N279" t="str" cm="1">
        <f t="array" ref="N279">_xlfn.IFS(E279="Electronics","P001", E279="MRO","P002", E279="Office Supplies","P003", E279="Packaging","P004", E279="Raw Materials","P005")</f>
        <v>P003</v>
      </c>
    </row>
    <row r="280" spans="1:14" x14ac:dyDescent="0.2">
      <c r="A280" s="1" t="s">
        <v>294</v>
      </c>
      <c r="B280" s="2" t="s">
        <v>1</v>
      </c>
      <c r="C280" s="3">
        <v>44994</v>
      </c>
      <c r="D280" s="3">
        <v>45014</v>
      </c>
      <c r="E280" s="2" t="s">
        <v>13</v>
      </c>
      <c r="F280" s="2" t="s">
        <v>3</v>
      </c>
      <c r="G280" s="2">
        <v>748</v>
      </c>
      <c r="H280" s="2">
        <v>37.659999999999997</v>
      </c>
      <c r="I280" s="2">
        <v>32.71</v>
      </c>
      <c r="J280" s="2">
        <v>0</v>
      </c>
      <c r="K280" s="2" t="s">
        <v>16</v>
      </c>
      <c r="L280" s="2" t="str">
        <f t="shared" si="4"/>
        <v>Cancelled</v>
      </c>
      <c r="M280" t="str" cm="1">
        <f t="array" ref="M280">_xlfn.IFS(B280="Alpha_Inc","S001", B280="Delta_Logistics","S002", B280="Gamma_Co","S003", B280="Beta_Supplies","S004", B280="Epsilon_Group","S005")</f>
        <v>S001</v>
      </c>
      <c r="N280" t="str" cm="1">
        <f t="array" ref="N280">_xlfn.IFS(E280="Electronics","P001", E280="MRO","P002", E280="Office Supplies","P003", E280="Packaging","P004", E280="Raw Materials","P005")</f>
        <v>P004</v>
      </c>
    </row>
    <row r="281" spans="1:14" x14ac:dyDescent="0.2">
      <c r="A281" s="4" t="s">
        <v>295</v>
      </c>
      <c r="B281" s="5" t="s">
        <v>1</v>
      </c>
      <c r="C281" s="6">
        <v>44749</v>
      </c>
      <c r="D281" s="6">
        <f>Table1[[#This Row],[Order_Date]]+14</f>
        <v>44763</v>
      </c>
      <c r="E281" s="5" t="s">
        <v>2</v>
      </c>
      <c r="F281" s="5" t="s">
        <v>7</v>
      </c>
      <c r="G281" s="5">
        <v>162</v>
      </c>
      <c r="H281" s="5">
        <v>81.63</v>
      </c>
      <c r="I281" s="5">
        <v>78.760000000000005</v>
      </c>
      <c r="J281" s="5">
        <v>2</v>
      </c>
      <c r="K281" s="5" t="s">
        <v>4</v>
      </c>
      <c r="L281" s="5" t="str">
        <f t="shared" si="4"/>
        <v>Delivered</v>
      </c>
      <c r="M281" t="str" cm="1">
        <f t="array" ref="M281">_xlfn.IFS(B281="Alpha_Inc","S001", B281="Delta_Logistics","S002", B281="Gamma_Co","S003", B281="Beta_Supplies","S004", B281="Epsilon_Group","S005")</f>
        <v>S001</v>
      </c>
      <c r="N281" t="str" cm="1">
        <f t="array" ref="N281">_xlfn.IFS(E281="Electronics","P001", E281="MRO","P002", E281="Office Supplies","P003", E281="Packaging","P004", E281="Raw Materials","P005")</f>
        <v>P003</v>
      </c>
    </row>
    <row r="282" spans="1:14" x14ac:dyDescent="0.2">
      <c r="A282" s="1" t="s">
        <v>296</v>
      </c>
      <c r="B282" s="2" t="s">
        <v>1</v>
      </c>
      <c r="C282" s="3">
        <v>44847</v>
      </c>
      <c r="D282" s="3">
        <v>44858</v>
      </c>
      <c r="E282" s="2" t="s">
        <v>13</v>
      </c>
      <c r="F282" s="2" t="s">
        <v>7</v>
      </c>
      <c r="G282" s="2">
        <v>51</v>
      </c>
      <c r="H282" s="2">
        <v>28.04</v>
      </c>
      <c r="I282" s="2">
        <v>24.13</v>
      </c>
      <c r="J282" s="2">
        <v>0</v>
      </c>
      <c r="K282" s="2" t="s">
        <v>4</v>
      </c>
      <c r="L282" s="2" t="str">
        <f t="shared" si="4"/>
        <v>Delivered</v>
      </c>
      <c r="M282" t="str" cm="1">
        <f t="array" ref="M282">_xlfn.IFS(B282="Alpha_Inc","S001", B282="Delta_Logistics","S002", B282="Gamma_Co","S003", B282="Beta_Supplies","S004", B282="Epsilon_Group","S005")</f>
        <v>S001</v>
      </c>
      <c r="N282" t="str" cm="1">
        <f t="array" ref="N282">_xlfn.IFS(E282="Electronics","P001", E282="MRO","P002", E282="Office Supplies","P003", E282="Packaging","P004", E282="Raw Materials","P005")</f>
        <v>P004</v>
      </c>
    </row>
    <row r="283" spans="1:14" x14ac:dyDescent="0.2">
      <c r="A283" s="4" t="s">
        <v>297</v>
      </c>
      <c r="B283" s="5" t="s">
        <v>6</v>
      </c>
      <c r="C283" s="6">
        <v>45035</v>
      </c>
      <c r="D283" s="6">
        <v>45040</v>
      </c>
      <c r="E283" s="5" t="s">
        <v>2</v>
      </c>
      <c r="F283" s="5" t="s">
        <v>7</v>
      </c>
      <c r="G283" s="5">
        <v>691</v>
      </c>
      <c r="H283" s="5">
        <v>42.07</v>
      </c>
      <c r="I283" s="5">
        <v>39.1</v>
      </c>
      <c r="J283" s="5">
        <v>106</v>
      </c>
      <c r="K283" s="5" t="s">
        <v>4</v>
      </c>
      <c r="L283" s="5" t="str">
        <f t="shared" si="4"/>
        <v>Delivered</v>
      </c>
      <c r="M283" t="str" cm="1">
        <f t="array" ref="M283">_xlfn.IFS(B283="Alpha_Inc","S001", B283="Delta_Logistics","S002", B283="Gamma_Co","S003", B283="Beta_Supplies","S004", B283="Epsilon_Group","S005")</f>
        <v>S002</v>
      </c>
      <c r="N283" t="str" cm="1">
        <f t="array" ref="N283">_xlfn.IFS(E283="Electronics","P001", E283="MRO","P002", E283="Office Supplies","P003", E283="Packaging","P004", E283="Raw Materials","P005")</f>
        <v>P003</v>
      </c>
    </row>
    <row r="284" spans="1:14" x14ac:dyDescent="0.2">
      <c r="A284" s="1" t="s">
        <v>298</v>
      </c>
      <c r="B284" s="2" t="s">
        <v>12</v>
      </c>
      <c r="C284" s="3">
        <v>44817</v>
      </c>
      <c r="D284" s="3">
        <v>44824</v>
      </c>
      <c r="E284" s="2" t="s">
        <v>2</v>
      </c>
      <c r="F284" s="2" t="s">
        <v>7</v>
      </c>
      <c r="G284" s="2">
        <v>269</v>
      </c>
      <c r="H284" s="2">
        <v>50.22</v>
      </c>
      <c r="I284" s="2">
        <v>45.75</v>
      </c>
      <c r="J284" s="2">
        <v>32</v>
      </c>
      <c r="K284" s="2" t="s">
        <v>16</v>
      </c>
      <c r="L284" s="2" t="str">
        <f t="shared" si="4"/>
        <v>Delivered</v>
      </c>
      <c r="M284" t="str" cm="1">
        <f t="array" ref="M284">_xlfn.IFS(B284="Alpha_Inc","S001", B284="Delta_Logistics","S002", B284="Gamma_Co","S003", B284="Beta_Supplies","S004", B284="Epsilon_Group","S005")</f>
        <v>S004</v>
      </c>
      <c r="N284" t="str" cm="1">
        <f t="array" ref="N284">_xlfn.IFS(E284="Electronics","P001", E284="MRO","P002", E284="Office Supplies","P003", E284="Packaging","P004", E284="Raw Materials","P005")</f>
        <v>P003</v>
      </c>
    </row>
    <row r="285" spans="1:14" x14ac:dyDescent="0.2">
      <c r="A285" s="4" t="s">
        <v>299</v>
      </c>
      <c r="B285" s="5" t="s">
        <v>12</v>
      </c>
      <c r="C285" s="6">
        <v>44639</v>
      </c>
      <c r="D285" s="6">
        <v>44657</v>
      </c>
      <c r="E285" s="5" t="s">
        <v>28</v>
      </c>
      <c r="F285" s="5" t="s">
        <v>24</v>
      </c>
      <c r="G285" s="5">
        <v>1639</v>
      </c>
      <c r="H285" s="5">
        <v>56.24</v>
      </c>
      <c r="I285" s="5">
        <v>55.4</v>
      </c>
      <c r="J285" s="5">
        <v>147</v>
      </c>
      <c r="K285" s="5" t="s">
        <v>4</v>
      </c>
      <c r="L285" s="5" t="str">
        <f t="shared" si="4"/>
        <v>Pending</v>
      </c>
      <c r="M285" t="str" cm="1">
        <f t="array" ref="M285">_xlfn.IFS(B285="Alpha_Inc","S001", B285="Delta_Logistics","S002", B285="Gamma_Co","S003", B285="Beta_Supplies","S004", B285="Epsilon_Group","S005")</f>
        <v>S004</v>
      </c>
      <c r="N285" t="str" cm="1">
        <f t="array" ref="N285">_xlfn.IFS(E285="Electronics","P001", E285="MRO","P002", E285="Office Supplies","P003", E285="Packaging","P004", E285="Raw Materials","P005")</f>
        <v>P001</v>
      </c>
    </row>
    <row r="286" spans="1:14" x14ac:dyDescent="0.2">
      <c r="A286" s="1" t="s">
        <v>300</v>
      </c>
      <c r="B286" s="2" t="s">
        <v>1</v>
      </c>
      <c r="C286" s="3">
        <v>45015</v>
      </c>
      <c r="D286" s="3">
        <v>45022</v>
      </c>
      <c r="E286" s="2" t="s">
        <v>15</v>
      </c>
      <c r="F286" s="2" t="s">
        <v>7</v>
      </c>
      <c r="G286" s="2">
        <v>904</v>
      </c>
      <c r="H286" s="2">
        <v>34.04</v>
      </c>
      <c r="I286" s="2">
        <v>30.06</v>
      </c>
      <c r="J286" s="2">
        <v>26</v>
      </c>
      <c r="K286" s="2" t="s">
        <v>4</v>
      </c>
      <c r="L286" s="2" t="str">
        <f t="shared" si="4"/>
        <v>Delivered</v>
      </c>
      <c r="M286" t="str" cm="1">
        <f t="array" ref="M286">_xlfn.IFS(B286="Alpha_Inc","S001", B286="Delta_Logistics","S002", B286="Gamma_Co","S003", B286="Beta_Supplies","S004", B286="Epsilon_Group","S005")</f>
        <v>S001</v>
      </c>
      <c r="N286" t="str" cm="1">
        <f t="array" ref="N286">_xlfn.IFS(E286="Electronics","P001", E286="MRO","P002", E286="Office Supplies","P003", E286="Packaging","P004", E286="Raw Materials","P005")</f>
        <v>P005</v>
      </c>
    </row>
    <row r="287" spans="1:14" x14ac:dyDescent="0.2">
      <c r="A287" s="4" t="s">
        <v>301</v>
      </c>
      <c r="B287" s="5" t="s">
        <v>12</v>
      </c>
      <c r="C287" s="6">
        <v>45125</v>
      </c>
      <c r="D287" s="6">
        <v>45133</v>
      </c>
      <c r="E287" s="5" t="s">
        <v>2</v>
      </c>
      <c r="F287" s="5" t="s">
        <v>7</v>
      </c>
      <c r="G287" s="5">
        <v>1809</v>
      </c>
      <c r="H287" s="5">
        <v>22.17</v>
      </c>
      <c r="I287" s="5">
        <v>19.649999999999999</v>
      </c>
      <c r="J287" s="5">
        <v>0</v>
      </c>
      <c r="K287" s="5" t="s">
        <v>4</v>
      </c>
      <c r="L287" s="5" t="str">
        <f t="shared" si="4"/>
        <v>Delivered</v>
      </c>
      <c r="M287" t="str" cm="1">
        <f t="array" ref="M287">_xlfn.IFS(B287="Alpha_Inc","S001", B287="Delta_Logistics","S002", B287="Gamma_Co","S003", B287="Beta_Supplies","S004", B287="Epsilon_Group","S005")</f>
        <v>S004</v>
      </c>
      <c r="N287" t="str" cm="1">
        <f t="array" ref="N287">_xlfn.IFS(E287="Electronics","P001", E287="MRO","P002", E287="Office Supplies","P003", E287="Packaging","P004", E287="Raw Materials","P005")</f>
        <v>P003</v>
      </c>
    </row>
    <row r="288" spans="1:14" x14ac:dyDescent="0.2">
      <c r="A288" s="1" t="s">
        <v>302</v>
      </c>
      <c r="B288" s="2" t="s">
        <v>1</v>
      </c>
      <c r="C288" s="3">
        <v>44662</v>
      </c>
      <c r="D288" s="3">
        <v>44667</v>
      </c>
      <c r="E288" s="2" t="s">
        <v>13</v>
      </c>
      <c r="F288" s="2" t="s">
        <v>7</v>
      </c>
      <c r="G288" s="2">
        <v>1298</v>
      </c>
      <c r="H288" s="2">
        <v>65.930000000000007</v>
      </c>
      <c r="I288" s="2">
        <v>58.95</v>
      </c>
      <c r="J288" s="2">
        <v>0</v>
      </c>
      <c r="K288" s="2" t="s">
        <v>4</v>
      </c>
      <c r="L288" s="2" t="str">
        <f t="shared" si="4"/>
        <v>Delivered</v>
      </c>
      <c r="M288" t="str" cm="1">
        <f t="array" ref="M288">_xlfn.IFS(B288="Alpha_Inc","S001", B288="Delta_Logistics","S002", B288="Gamma_Co","S003", B288="Beta_Supplies","S004", B288="Epsilon_Group","S005")</f>
        <v>S001</v>
      </c>
      <c r="N288" t="str" cm="1">
        <f t="array" ref="N288">_xlfn.IFS(E288="Electronics","P001", E288="MRO","P002", E288="Office Supplies","P003", E288="Packaging","P004", E288="Raw Materials","P005")</f>
        <v>P004</v>
      </c>
    </row>
    <row r="289" spans="1:14" x14ac:dyDescent="0.2">
      <c r="A289" s="4" t="s">
        <v>303</v>
      </c>
      <c r="B289" s="5" t="s">
        <v>12</v>
      </c>
      <c r="C289" s="6">
        <v>44613</v>
      </c>
      <c r="D289" s="6">
        <v>44633</v>
      </c>
      <c r="E289" s="5" t="s">
        <v>13</v>
      </c>
      <c r="F289" s="5" t="s">
        <v>7</v>
      </c>
      <c r="G289" s="5">
        <v>434</v>
      </c>
      <c r="H289" s="5">
        <v>36.159999999999997</v>
      </c>
      <c r="I289" s="5">
        <v>34.79</v>
      </c>
      <c r="J289" s="5">
        <v>41</v>
      </c>
      <c r="K289" s="5" t="s">
        <v>4</v>
      </c>
      <c r="L289" s="5" t="str">
        <f t="shared" si="4"/>
        <v>Delivered</v>
      </c>
      <c r="M289" t="str" cm="1">
        <f t="array" ref="M289">_xlfn.IFS(B289="Alpha_Inc","S001", B289="Delta_Logistics","S002", B289="Gamma_Co","S003", B289="Beta_Supplies","S004", B289="Epsilon_Group","S005")</f>
        <v>S004</v>
      </c>
      <c r="N289" t="str" cm="1">
        <f t="array" ref="N289">_xlfn.IFS(E289="Electronics","P001", E289="MRO","P002", E289="Office Supplies","P003", E289="Packaging","P004", E289="Raw Materials","P005")</f>
        <v>P004</v>
      </c>
    </row>
    <row r="290" spans="1:14" x14ac:dyDescent="0.2">
      <c r="A290" s="1" t="s">
        <v>304</v>
      </c>
      <c r="B290" s="2" t="s">
        <v>18</v>
      </c>
      <c r="C290" s="3">
        <v>45229</v>
      </c>
      <c r="D290" s="3">
        <v>45234</v>
      </c>
      <c r="E290" s="2" t="s">
        <v>28</v>
      </c>
      <c r="F290" s="2" t="s">
        <v>7</v>
      </c>
      <c r="G290" s="2">
        <v>1476</v>
      </c>
      <c r="H290" s="2">
        <v>68.849999999999994</v>
      </c>
      <c r="I290" s="2">
        <v>65.28</v>
      </c>
      <c r="J290" s="2">
        <v>43</v>
      </c>
      <c r="K290" s="2" t="s">
        <v>4</v>
      </c>
      <c r="L290" s="2" t="str">
        <f t="shared" si="4"/>
        <v>Delivered</v>
      </c>
      <c r="M290" t="str" cm="1">
        <f t="array" ref="M290">_xlfn.IFS(B290="Alpha_Inc","S001", B290="Delta_Logistics","S002", B290="Gamma_Co","S003", B290="Beta_Supplies","S004", B290="Epsilon_Group","S005")</f>
        <v>S005</v>
      </c>
      <c r="N290" t="str" cm="1">
        <f t="array" ref="N290">_xlfn.IFS(E290="Electronics","P001", E290="MRO","P002", E290="Office Supplies","P003", E290="Packaging","P004", E290="Raw Materials","P005")</f>
        <v>P001</v>
      </c>
    </row>
    <row r="291" spans="1:14" x14ac:dyDescent="0.2">
      <c r="A291" s="4" t="s">
        <v>305</v>
      </c>
      <c r="B291" s="5" t="s">
        <v>6</v>
      </c>
      <c r="C291" s="6">
        <v>45115</v>
      </c>
      <c r="D291" s="6">
        <f>Table1[[#This Row],[Order_Date]]+14</f>
        <v>45129</v>
      </c>
      <c r="E291" s="5" t="s">
        <v>15</v>
      </c>
      <c r="F291" s="5" t="s">
        <v>22</v>
      </c>
      <c r="G291" s="5">
        <v>1711</v>
      </c>
      <c r="H291" s="5">
        <v>26.04</v>
      </c>
      <c r="I291" s="5">
        <v>24.81</v>
      </c>
      <c r="J291" s="5">
        <v>290</v>
      </c>
      <c r="K291" s="5" t="s">
        <v>4</v>
      </c>
      <c r="L291" s="5" t="str">
        <f t="shared" si="4"/>
        <v>Partially Delivered</v>
      </c>
      <c r="M291" t="str" cm="1">
        <f t="array" ref="M291">_xlfn.IFS(B291="Alpha_Inc","S001", B291="Delta_Logistics","S002", B291="Gamma_Co","S003", B291="Beta_Supplies","S004", B291="Epsilon_Group","S005")</f>
        <v>S002</v>
      </c>
      <c r="N291" t="str" cm="1">
        <f t="array" ref="N291">_xlfn.IFS(E291="Electronics","P001", E291="MRO","P002", E291="Office Supplies","P003", E291="Packaging","P004", E291="Raw Materials","P005")</f>
        <v>P005</v>
      </c>
    </row>
    <row r="292" spans="1:14" x14ac:dyDescent="0.2">
      <c r="A292" s="1" t="s">
        <v>306</v>
      </c>
      <c r="B292" s="2" t="s">
        <v>9</v>
      </c>
      <c r="C292" s="3">
        <v>44577</v>
      </c>
      <c r="D292" s="3">
        <v>44583</v>
      </c>
      <c r="E292" s="2" t="s">
        <v>13</v>
      </c>
      <c r="F292" s="2" t="s">
        <v>7</v>
      </c>
      <c r="G292" s="2">
        <v>1203</v>
      </c>
      <c r="H292" s="2">
        <v>53.3</v>
      </c>
      <c r="I292" s="2">
        <v>47.68</v>
      </c>
      <c r="J292" s="2">
        <v>49</v>
      </c>
      <c r="K292" s="2" t="s">
        <v>4</v>
      </c>
      <c r="L292" s="2" t="str">
        <f t="shared" si="4"/>
        <v>Delivered</v>
      </c>
      <c r="M292" t="str" cm="1">
        <f t="array" ref="M292">_xlfn.IFS(B292="Alpha_Inc","S001", B292="Delta_Logistics","S002", B292="Gamma_Co","S003", B292="Beta_Supplies","S004", B292="Epsilon_Group","S005")</f>
        <v>S003</v>
      </c>
      <c r="N292" t="str" cm="1">
        <f t="array" ref="N292">_xlfn.IFS(E292="Electronics","P001", E292="MRO","P002", E292="Office Supplies","P003", E292="Packaging","P004", E292="Raw Materials","P005")</f>
        <v>P004</v>
      </c>
    </row>
    <row r="293" spans="1:14" x14ac:dyDescent="0.2">
      <c r="A293" s="4" t="s">
        <v>307</v>
      </c>
      <c r="B293" s="5" t="s">
        <v>1</v>
      </c>
      <c r="C293" s="6">
        <v>44657</v>
      </c>
      <c r="D293" s="6">
        <v>44658</v>
      </c>
      <c r="E293" s="5" t="s">
        <v>28</v>
      </c>
      <c r="F293" s="5" t="s">
        <v>7</v>
      </c>
      <c r="G293" s="5">
        <v>1126</v>
      </c>
      <c r="H293" s="5">
        <v>58.8</v>
      </c>
      <c r="I293" s="5">
        <v>52.22</v>
      </c>
      <c r="J293" s="5">
        <v>0</v>
      </c>
      <c r="K293" s="5" t="s">
        <v>4</v>
      </c>
      <c r="L293" s="5" t="str">
        <f t="shared" si="4"/>
        <v>Delivered</v>
      </c>
      <c r="M293" t="str" cm="1">
        <f t="array" ref="M293">_xlfn.IFS(B293="Alpha_Inc","S001", B293="Delta_Logistics","S002", B293="Gamma_Co","S003", B293="Beta_Supplies","S004", B293="Epsilon_Group","S005")</f>
        <v>S001</v>
      </c>
      <c r="N293" t="str" cm="1">
        <f t="array" ref="N293">_xlfn.IFS(E293="Electronics","P001", E293="MRO","P002", E293="Office Supplies","P003", E293="Packaging","P004", E293="Raw Materials","P005")</f>
        <v>P001</v>
      </c>
    </row>
    <row r="294" spans="1:14" x14ac:dyDescent="0.2">
      <c r="A294" s="1" t="s">
        <v>308</v>
      </c>
      <c r="B294" s="2" t="s">
        <v>18</v>
      </c>
      <c r="C294" s="3">
        <v>44804</v>
      </c>
      <c r="D294" s="3">
        <v>44816</v>
      </c>
      <c r="E294" s="2" t="s">
        <v>13</v>
      </c>
      <c r="F294" s="2" t="s">
        <v>7</v>
      </c>
      <c r="G294" s="2">
        <v>1757</v>
      </c>
      <c r="H294" s="2">
        <v>15.18</v>
      </c>
      <c r="I294" s="2">
        <v>13.06</v>
      </c>
      <c r="J294" s="2">
        <v>63</v>
      </c>
      <c r="K294" s="2" t="s">
        <v>4</v>
      </c>
      <c r="L294" s="2" t="str">
        <f t="shared" si="4"/>
        <v>Delivered</v>
      </c>
      <c r="M294" t="str" cm="1">
        <f t="array" ref="M294">_xlfn.IFS(B294="Alpha_Inc","S001", B294="Delta_Logistics","S002", B294="Gamma_Co","S003", B294="Beta_Supplies","S004", B294="Epsilon_Group","S005")</f>
        <v>S005</v>
      </c>
      <c r="N294" t="str" cm="1">
        <f t="array" ref="N294">_xlfn.IFS(E294="Electronics","P001", E294="MRO","P002", E294="Office Supplies","P003", E294="Packaging","P004", E294="Raw Materials","P005")</f>
        <v>P004</v>
      </c>
    </row>
    <row r="295" spans="1:14" x14ac:dyDescent="0.2">
      <c r="A295" s="4" t="s">
        <v>309</v>
      </c>
      <c r="B295" s="5" t="s">
        <v>18</v>
      </c>
      <c r="C295" s="6">
        <v>44732</v>
      </c>
      <c r="D295" s="6">
        <v>44740</v>
      </c>
      <c r="E295" s="5" t="s">
        <v>10</v>
      </c>
      <c r="F295" s="5" t="s">
        <v>7</v>
      </c>
      <c r="G295" s="5">
        <v>779</v>
      </c>
      <c r="H295" s="5">
        <v>41.3</v>
      </c>
      <c r="I295" s="5">
        <v>36.28</v>
      </c>
      <c r="J295" s="5">
        <v>20</v>
      </c>
      <c r="K295" s="5" t="s">
        <v>4</v>
      </c>
      <c r="L295" s="5" t="str">
        <f t="shared" si="4"/>
        <v>Delivered</v>
      </c>
      <c r="M295" t="str" cm="1">
        <f t="array" ref="M295">_xlfn.IFS(B295="Alpha_Inc","S001", B295="Delta_Logistics","S002", B295="Gamma_Co","S003", B295="Beta_Supplies","S004", B295="Epsilon_Group","S005")</f>
        <v>S005</v>
      </c>
      <c r="N295" t="str" cm="1">
        <f t="array" ref="N295">_xlfn.IFS(E295="Electronics","P001", E295="MRO","P002", E295="Office Supplies","P003", E295="Packaging","P004", E295="Raw Materials","P005")</f>
        <v>P002</v>
      </c>
    </row>
    <row r="296" spans="1:14" x14ac:dyDescent="0.2">
      <c r="A296" s="1" t="s">
        <v>310</v>
      </c>
      <c r="B296" s="2" t="s">
        <v>6</v>
      </c>
      <c r="C296" s="3">
        <v>44978</v>
      </c>
      <c r="D296" s="3">
        <v>44979</v>
      </c>
      <c r="E296" s="2" t="s">
        <v>2</v>
      </c>
      <c r="F296" s="2" t="s">
        <v>7</v>
      </c>
      <c r="G296" s="2">
        <v>1745</v>
      </c>
      <c r="H296" s="2">
        <v>23.53</v>
      </c>
      <c r="I296" s="2">
        <v>22.57</v>
      </c>
      <c r="J296" s="2">
        <v>282</v>
      </c>
      <c r="K296" s="2" t="s">
        <v>16</v>
      </c>
      <c r="L296" s="2" t="str">
        <f t="shared" si="4"/>
        <v>Delivered</v>
      </c>
      <c r="M296" t="str" cm="1">
        <f t="array" ref="M296">_xlfn.IFS(B296="Alpha_Inc","S001", B296="Delta_Logistics","S002", B296="Gamma_Co","S003", B296="Beta_Supplies","S004", B296="Epsilon_Group","S005")</f>
        <v>S002</v>
      </c>
      <c r="N296" t="str" cm="1">
        <f t="array" ref="N296">_xlfn.IFS(E296="Electronics","P001", E296="MRO","P002", E296="Office Supplies","P003", E296="Packaging","P004", E296="Raw Materials","P005")</f>
        <v>P003</v>
      </c>
    </row>
    <row r="297" spans="1:14" x14ac:dyDescent="0.2">
      <c r="A297" s="4" t="s">
        <v>311</v>
      </c>
      <c r="B297" s="5" t="s">
        <v>6</v>
      </c>
      <c r="C297" s="6">
        <v>45059</v>
      </c>
      <c r="D297" s="6">
        <v>45061</v>
      </c>
      <c r="E297" s="5" t="s">
        <v>15</v>
      </c>
      <c r="F297" s="5" t="s">
        <v>7</v>
      </c>
      <c r="G297" s="5">
        <v>1783</v>
      </c>
      <c r="H297" s="5">
        <v>16.96</v>
      </c>
      <c r="I297" s="5">
        <v>15.8</v>
      </c>
      <c r="J297" s="5">
        <v>295</v>
      </c>
      <c r="K297" s="5" t="s">
        <v>4</v>
      </c>
      <c r="L297" s="5" t="str">
        <f t="shared" si="4"/>
        <v>Delivered</v>
      </c>
      <c r="M297" t="str" cm="1">
        <f t="array" ref="M297">_xlfn.IFS(B297="Alpha_Inc","S001", B297="Delta_Logistics","S002", B297="Gamma_Co","S003", B297="Beta_Supplies","S004", B297="Epsilon_Group","S005")</f>
        <v>S002</v>
      </c>
      <c r="N297" t="str" cm="1">
        <f t="array" ref="N297">_xlfn.IFS(E297="Electronics","P001", E297="MRO","P002", E297="Office Supplies","P003", E297="Packaging","P004", E297="Raw Materials","P005")</f>
        <v>P005</v>
      </c>
    </row>
    <row r="298" spans="1:14" x14ac:dyDescent="0.2">
      <c r="A298" s="1" t="s">
        <v>312</v>
      </c>
      <c r="B298" s="2" t="s">
        <v>1</v>
      </c>
      <c r="C298" s="3">
        <v>45054</v>
      </c>
      <c r="D298" s="3">
        <v>45068</v>
      </c>
      <c r="E298" s="2" t="s">
        <v>2</v>
      </c>
      <c r="F298" s="2" t="s">
        <v>22</v>
      </c>
      <c r="G298" s="2">
        <v>1489</v>
      </c>
      <c r="H298" s="2">
        <v>107.02</v>
      </c>
      <c r="I298" s="2">
        <v>93.3</v>
      </c>
      <c r="J298" s="2">
        <v>0</v>
      </c>
      <c r="K298" s="2" t="s">
        <v>4</v>
      </c>
      <c r="L298" s="2" t="str">
        <f t="shared" si="4"/>
        <v>Partially Delivered</v>
      </c>
      <c r="M298" t="str" cm="1">
        <f t="array" ref="M298">_xlfn.IFS(B298="Alpha_Inc","S001", B298="Delta_Logistics","S002", B298="Gamma_Co","S003", B298="Beta_Supplies","S004", B298="Epsilon_Group","S005")</f>
        <v>S001</v>
      </c>
      <c r="N298" t="str" cm="1">
        <f t="array" ref="N298">_xlfn.IFS(E298="Electronics","P001", E298="MRO","P002", E298="Office Supplies","P003", E298="Packaging","P004", E298="Raw Materials","P005")</f>
        <v>P003</v>
      </c>
    </row>
    <row r="299" spans="1:14" x14ac:dyDescent="0.2">
      <c r="A299" s="4" t="s">
        <v>313</v>
      </c>
      <c r="B299" s="5" t="s">
        <v>1</v>
      </c>
      <c r="C299" s="6">
        <v>44780</v>
      </c>
      <c r="D299" s="6">
        <v>44783</v>
      </c>
      <c r="E299" s="5" t="s">
        <v>2</v>
      </c>
      <c r="F299" s="5" t="s">
        <v>7</v>
      </c>
      <c r="G299" s="5">
        <v>296</v>
      </c>
      <c r="H299" s="5">
        <v>40.380000000000003</v>
      </c>
      <c r="I299" s="5">
        <v>35.25</v>
      </c>
      <c r="J299" s="5">
        <v>0</v>
      </c>
      <c r="K299" s="5" t="s">
        <v>4</v>
      </c>
      <c r="L299" s="5" t="str">
        <f t="shared" si="4"/>
        <v>Delivered</v>
      </c>
      <c r="M299" t="str" cm="1">
        <f t="array" ref="M299">_xlfn.IFS(B299="Alpha_Inc","S001", B299="Delta_Logistics","S002", B299="Gamma_Co","S003", B299="Beta_Supplies","S004", B299="Epsilon_Group","S005")</f>
        <v>S001</v>
      </c>
      <c r="N299" t="str" cm="1">
        <f t="array" ref="N299">_xlfn.IFS(E299="Electronics","P001", E299="MRO","P002", E299="Office Supplies","P003", E299="Packaging","P004", E299="Raw Materials","P005")</f>
        <v>P003</v>
      </c>
    </row>
    <row r="300" spans="1:14" x14ac:dyDescent="0.2">
      <c r="A300" s="1" t="s">
        <v>314</v>
      </c>
      <c r="B300" s="2" t="s">
        <v>18</v>
      </c>
      <c r="C300" s="3">
        <v>44972</v>
      </c>
      <c r="D300" s="3">
        <v>44984</v>
      </c>
      <c r="E300" s="2" t="s">
        <v>10</v>
      </c>
      <c r="F300" s="2" t="s">
        <v>7</v>
      </c>
      <c r="G300" s="2">
        <v>885</v>
      </c>
      <c r="H300" s="2">
        <v>88.28</v>
      </c>
      <c r="I300" s="2">
        <v>80.8</v>
      </c>
      <c r="J300" s="2">
        <v>31</v>
      </c>
      <c r="K300" s="2" t="s">
        <v>4</v>
      </c>
      <c r="L300" s="2" t="str">
        <f t="shared" si="4"/>
        <v>Delivered</v>
      </c>
      <c r="M300" t="str" cm="1">
        <f t="array" ref="M300">_xlfn.IFS(B300="Alpha_Inc","S001", B300="Delta_Logistics","S002", B300="Gamma_Co","S003", B300="Beta_Supplies","S004", B300="Epsilon_Group","S005")</f>
        <v>S005</v>
      </c>
      <c r="N300" t="str" cm="1">
        <f t="array" ref="N300">_xlfn.IFS(E300="Electronics","P001", E300="MRO","P002", E300="Office Supplies","P003", E300="Packaging","P004", E300="Raw Materials","P005")</f>
        <v>P002</v>
      </c>
    </row>
    <row r="301" spans="1:14" x14ac:dyDescent="0.2">
      <c r="A301" s="4" t="s">
        <v>315</v>
      </c>
      <c r="B301" s="5" t="s">
        <v>18</v>
      </c>
      <c r="C301" s="6">
        <v>44622</v>
      </c>
      <c r="D301" s="6">
        <v>44626</v>
      </c>
      <c r="E301" s="5" t="s">
        <v>15</v>
      </c>
      <c r="F301" s="5" t="s">
        <v>24</v>
      </c>
      <c r="G301" s="5">
        <v>1512</v>
      </c>
      <c r="H301" s="5">
        <v>33.25</v>
      </c>
      <c r="I301" s="5">
        <v>30.15</v>
      </c>
      <c r="J301" s="5">
        <v>53</v>
      </c>
      <c r="K301" s="5" t="s">
        <v>4</v>
      </c>
      <c r="L301" s="5" t="str">
        <f t="shared" si="4"/>
        <v>Pending</v>
      </c>
      <c r="M301" t="str" cm="1">
        <f t="array" ref="M301">_xlfn.IFS(B301="Alpha_Inc","S001", B301="Delta_Logistics","S002", B301="Gamma_Co","S003", B301="Beta_Supplies","S004", B301="Epsilon_Group","S005")</f>
        <v>S005</v>
      </c>
      <c r="N301" t="str" cm="1">
        <f t="array" ref="N301">_xlfn.IFS(E301="Electronics","P001", E301="MRO","P002", E301="Office Supplies","P003", E301="Packaging","P004", E301="Raw Materials","P005")</f>
        <v>P005</v>
      </c>
    </row>
    <row r="302" spans="1:14" x14ac:dyDescent="0.2">
      <c r="A302" s="1" t="s">
        <v>316</v>
      </c>
      <c r="B302" s="2" t="s">
        <v>6</v>
      </c>
      <c r="C302" s="3">
        <v>44730</v>
      </c>
      <c r="D302" s="3">
        <v>44738</v>
      </c>
      <c r="E302" s="2" t="s">
        <v>2</v>
      </c>
      <c r="F302" s="2" t="s">
        <v>7</v>
      </c>
      <c r="G302" s="2">
        <v>252</v>
      </c>
      <c r="H302" s="2">
        <v>73.12</v>
      </c>
      <c r="I302" s="2">
        <v>67.64</v>
      </c>
      <c r="J302" s="2">
        <v>0</v>
      </c>
      <c r="K302" s="2" t="s">
        <v>16</v>
      </c>
      <c r="L302" s="2" t="str">
        <f t="shared" si="4"/>
        <v>Delivered</v>
      </c>
      <c r="M302" t="str" cm="1">
        <f t="array" ref="M302">_xlfn.IFS(B302="Alpha_Inc","S001", B302="Delta_Logistics","S002", B302="Gamma_Co","S003", B302="Beta_Supplies","S004", B302="Epsilon_Group","S005")</f>
        <v>S002</v>
      </c>
      <c r="N302" t="str" cm="1">
        <f t="array" ref="N302">_xlfn.IFS(E302="Electronics","P001", E302="MRO","P002", E302="Office Supplies","P003", E302="Packaging","P004", E302="Raw Materials","P005")</f>
        <v>P003</v>
      </c>
    </row>
    <row r="303" spans="1:14" x14ac:dyDescent="0.2">
      <c r="A303" s="4" t="s">
        <v>317</v>
      </c>
      <c r="B303" s="5" t="s">
        <v>1</v>
      </c>
      <c r="C303" s="6">
        <v>44950</v>
      </c>
      <c r="D303" s="6">
        <f>Table1[[#This Row],[Order_Date]]+14</f>
        <v>44964</v>
      </c>
      <c r="E303" s="5" t="s">
        <v>28</v>
      </c>
      <c r="F303" s="5" t="s">
        <v>3</v>
      </c>
      <c r="G303" s="5">
        <v>1257</v>
      </c>
      <c r="H303" s="5">
        <v>83.13</v>
      </c>
      <c r="I303" s="5">
        <v>81.89</v>
      </c>
      <c r="J303" s="5">
        <v>30</v>
      </c>
      <c r="K303" s="5" t="s">
        <v>4</v>
      </c>
      <c r="L303" s="5" t="str">
        <f t="shared" si="4"/>
        <v>Cancelled</v>
      </c>
      <c r="M303" t="str" cm="1">
        <f t="array" ref="M303">_xlfn.IFS(B303="Alpha_Inc","S001", B303="Delta_Logistics","S002", B303="Gamma_Co","S003", B303="Beta_Supplies","S004", B303="Epsilon_Group","S005")</f>
        <v>S001</v>
      </c>
      <c r="N303" t="str" cm="1">
        <f t="array" ref="N303">_xlfn.IFS(E303="Electronics","P001", E303="MRO","P002", E303="Office Supplies","P003", E303="Packaging","P004", E303="Raw Materials","P005")</f>
        <v>P001</v>
      </c>
    </row>
    <row r="304" spans="1:14" x14ac:dyDescent="0.2">
      <c r="A304" s="1" t="s">
        <v>318</v>
      </c>
      <c r="B304" s="2" t="s">
        <v>1</v>
      </c>
      <c r="C304" s="3">
        <v>44564</v>
      </c>
      <c r="D304" s="3">
        <v>44581</v>
      </c>
      <c r="E304" s="2" t="s">
        <v>13</v>
      </c>
      <c r="F304" s="2" t="s">
        <v>7</v>
      </c>
      <c r="G304" s="2">
        <v>172</v>
      </c>
      <c r="H304" s="2">
        <v>63.61</v>
      </c>
      <c r="I304" s="2">
        <v>55.92</v>
      </c>
      <c r="J304" s="2">
        <v>4</v>
      </c>
      <c r="K304" s="2" t="s">
        <v>4</v>
      </c>
      <c r="L304" s="2" t="str">
        <f t="shared" si="4"/>
        <v>Delivered</v>
      </c>
      <c r="M304" t="str" cm="1">
        <f t="array" ref="M304">_xlfn.IFS(B304="Alpha_Inc","S001", B304="Delta_Logistics","S002", B304="Gamma_Co","S003", B304="Beta_Supplies","S004", B304="Epsilon_Group","S005")</f>
        <v>S001</v>
      </c>
      <c r="N304" t="str" cm="1">
        <f t="array" ref="N304">_xlfn.IFS(E304="Electronics","P001", E304="MRO","P002", E304="Office Supplies","P003", E304="Packaging","P004", E304="Raw Materials","P005")</f>
        <v>P004</v>
      </c>
    </row>
    <row r="305" spans="1:14" x14ac:dyDescent="0.2">
      <c r="A305" s="4" t="s">
        <v>319</v>
      </c>
      <c r="B305" s="5" t="s">
        <v>18</v>
      </c>
      <c r="C305" s="6">
        <v>44961</v>
      </c>
      <c r="D305" s="6">
        <v>44962</v>
      </c>
      <c r="E305" s="5" t="s">
        <v>13</v>
      </c>
      <c r="F305" s="5" t="s">
        <v>24</v>
      </c>
      <c r="G305" s="5">
        <v>450</v>
      </c>
      <c r="H305" s="5">
        <v>55.85</v>
      </c>
      <c r="I305" s="5">
        <v>49.88</v>
      </c>
      <c r="J305" s="5">
        <v>9</v>
      </c>
      <c r="K305" s="5" t="s">
        <v>4</v>
      </c>
      <c r="L305" s="5" t="str">
        <f t="shared" si="4"/>
        <v>Pending</v>
      </c>
      <c r="M305" t="str" cm="1">
        <f t="array" ref="M305">_xlfn.IFS(B305="Alpha_Inc","S001", B305="Delta_Logistics","S002", B305="Gamma_Co","S003", B305="Beta_Supplies","S004", B305="Epsilon_Group","S005")</f>
        <v>S005</v>
      </c>
      <c r="N305" t="str" cm="1">
        <f t="array" ref="N305">_xlfn.IFS(E305="Electronics","P001", E305="MRO","P002", E305="Office Supplies","P003", E305="Packaging","P004", E305="Raw Materials","P005")</f>
        <v>P004</v>
      </c>
    </row>
    <row r="306" spans="1:14" x14ac:dyDescent="0.2">
      <c r="A306" s="1" t="s">
        <v>320</v>
      </c>
      <c r="B306" s="2" t="s">
        <v>9</v>
      </c>
      <c r="C306" s="3">
        <v>44833</v>
      </c>
      <c r="D306" s="3">
        <v>44849</v>
      </c>
      <c r="E306" s="2" t="s">
        <v>28</v>
      </c>
      <c r="F306" s="2" t="s">
        <v>7</v>
      </c>
      <c r="G306" s="2">
        <v>816</v>
      </c>
      <c r="H306" s="2">
        <v>48.95</v>
      </c>
      <c r="I306" s="2">
        <v>43.42</v>
      </c>
      <c r="J306" s="2">
        <v>45</v>
      </c>
      <c r="K306" s="2" t="s">
        <v>4</v>
      </c>
      <c r="L306" s="2" t="str">
        <f t="shared" si="4"/>
        <v>Delivered</v>
      </c>
      <c r="M306" t="str" cm="1">
        <f t="array" ref="M306">_xlfn.IFS(B306="Alpha_Inc","S001", B306="Delta_Logistics","S002", B306="Gamma_Co","S003", B306="Beta_Supplies","S004", B306="Epsilon_Group","S005")</f>
        <v>S003</v>
      </c>
      <c r="N306" t="str" cm="1">
        <f t="array" ref="N306">_xlfn.IFS(E306="Electronics","P001", E306="MRO","P002", E306="Office Supplies","P003", E306="Packaging","P004", E306="Raw Materials","P005")</f>
        <v>P001</v>
      </c>
    </row>
    <row r="307" spans="1:14" x14ac:dyDescent="0.2">
      <c r="A307" s="4" t="s">
        <v>321</v>
      </c>
      <c r="B307" s="5" t="s">
        <v>18</v>
      </c>
      <c r="C307" s="6">
        <v>45027</v>
      </c>
      <c r="D307" s="6">
        <v>45041</v>
      </c>
      <c r="E307" s="5" t="s">
        <v>13</v>
      </c>
      <c r="F307" s="5" t="s">
        <v>7</v>
      </c>
      <c r="G307" s="5">
        <v>343</v>
      </c>
      <c r="H307" s="5">
        <v>44.5</v>
      </c>
      <c r="I307" s="5">
        <v>38.57</v>
      </c>
      <c r="J307" s="5">
        <v>7</v>
      </c>
      <c r="K307" s="5" t="s">
        <v>4</v>
      </c>
      <c r="L307" s="5" t="str">
        <f t="shared" si="4"/>
        <v>Delivered</v>
      </c>
      <c r="M307" t="str" cm="1">
        <f t="array" ref="M307">_xlfn.IFS(B307="Alpha_Inc","S001", B307="Delta_Logistics","S002", B307="Gamma_Co","S003", B307="Beta_Supplies","S004", B307="Epsilon_Group","S005")</f>
        <v>S005</v>
      </c>
      <c r="N307" t="str" cm="1">
        <f t="array" ref="N307">_xlfn.IFS(E307="Electronics","P001", E307="MRO","P002", E307="Office Supplies","P003", E307="Packaging","P004", E307="Raw Materials","P005")</f>
        <v>P004</v>
      </c>
    </row>
    <row r="308" spans="1:14" x14ac:dyDescent="0.2">
      <c r="A308" s="1" t="s">
        <v>322</v>
      </c>
      <c r="B308" s="2" t="s">
        <v>9</v>
      </c>
      <c r="C308" s="3">
        <v>44854</v>
      </c>
      <c r="D308" s="3">
        <v>44870</v>
      </c>
      <c r="E308" s="2" t="s">
        <v>10</v>
      </c>
      <c r="F308" s="2" t="s">
        <v>7</v>
      </c>
      <c r="G308" s="2">
        <v>329</v>
      </c>
      <c r="H308" s="2">
        <v>97.87</v>
      </c>
      <c r="I308" s="2">
        <v>85.35</v>
      </c>
      <c r="J308" s="2">
        <v>21</v>
      </c>
      <c r="K308" s="2" t="s">
        <v>16</v>
      </c>
      <c r="L308" s="2" t="str">
        <f t="shared" si="4"/>
        <v>Delivered</v>
      </c>
      <c r="M308" t="str" cm="1">
        <f t="array" ref="M308">_xlfn.IFS(B308="Alpha_Inc","S001", B308="Delta_Logistics","S002", B308="Gamma_Co","S003", B308="Beta_Supplies","S004", B308="Epsilon_Group","S005")</f>
        <v>S003</v>
      </c>
      <c r="N308" t="str" cm="1">
        <f t="array" ref="N308">_xlfn.IFS(E308="Electronics","P001", E308="MRO","P002", E308="Office Supplies","P003", E308="Packaging","P004", E308="Raw Materials","P005")</f>
        <v>P002</v>
      </c>
    </row>
    <row r="309" spans="1:14" x14ac:dyDescent="0.2">
      <c r="A309" s="4" t="s">
        <v>323</v>
      </c>
      <c r="B309" s="5" t="s">
        <v>1</v>
      </c>
      <c r="C309" s="6">
        <v>44995</v>
      </c>
      <c r="D309" s="6">
        <v>45010</v>
      </c>
      <c r="E309" s="5" t="s">
        <v>28</v>
      </c>
      <c r="F309" s="5" t="s">
        <v>7</v>
      </c>
      <c r="G309" s="5">
        <v>1910</v>
      </c>
      <c r="H309" s="5">
        <v>90.69</v>
      </c>
      <c r="I309" s="5">
        <v>85.8</v>
      </c>
      <c r="J309" s="5">
        <v>0</v>
      </c>
      <c r="K309" s="5" t="s">
        <v>4</v>
      </c>
      <c r="L309" s="5" t="str">
        <f t="shared" si="4"/>
        <v>Delivered</v>
      </c>
      <c r="M309" t="str" cm="1">
        <f t="array" ref="M309">_xlfn.IFS(B309="Alpha_Inc","S001", B309="Delta_Logistics","S002", B309="Gamma_Co","S003", B309="Beta_Supplies","S004", B309="Epsilon_Group","S005")</f>
        <v>S001</v>
      </c>
      <c r="N309" t="str" cm="1">
        <f t="array" ref="N309">_xlfn.IFS(E309="Electronics","P001", E309="MRO","P002", E309="Office Supplies","P003", E309="Packaging","P004", E309="Raw Materials","P005")</f>
        <v>P001</v>
      </c>
    </row>
    <row r="310" spans="1:14" x14ac:dyDescent="0.2">
      <c r="A310" s="1" t="s">
        <v>324</v>
      </c>
      <c r="B310" s="2" t="s">
        <v>18</v>
      </c>
      <c r="C310" s="3">
        <v>45275</v>
      </c>
      <c r="D310" s="3">
        <v>45278</v>
      </c>
      <c r="E310" s="2" t="s">
        <v>10</v>
      </c>
      <c r="F310" s="2" t="s">
        <v>7</v>
      </c>
      <c r="G310" s="2">
        <v>933</v>
      </c>
      <c r="H310" s="2">
        <v>107.99</v>
      </c>
      <c r="I310" s="2">
        <v>104.29</v>
      </c>
      <c r="J310" s="2">
        <v>29</v>
      </c>
      <c r="K310" s="2" t="s">
        <v>4</v>
      </c>
      <c r="L310" s="2" t="str">
        <f t="shared" si="4"/>
        <v>Delivered</v>
      </c>
      <c r="M310" t="str" cm="1">
        <f t="array" ref="M310">_xlfn.IFS(B310="Alpha_Inc","S001", B310="Delta_Logistics","S002", B310="Gamma_Co","S003", B310="Beta_Supplies","S004", B310="Epsilon_Group","S005")</f>
        <v>S005</v>
      </c>
      <c r="N310" t="str" cm="1">
        <f t="array" ref="N310">_xlfn.IFS(E310="Electronics","P001", E310="MRO","P002", E310="Office Supplies","P003", E310="Packaging","P004", E310="Raw Materials","P005")</f>
        <v>P002</v>
      </c>
    </row>
    <row r="311" spans="1:14" x14ac:dyDescent="0.2">
      <c r="A311" s="4" t="s">
        <v>325</v>
      </c>
      <c r="B311" s="5" t="s">
        <v>6</v>
      </c>
      <c r="C311" s="6">
        <v>45131</v>
      </c>
      <c r="D311" s="6">
        <v>45136</v>
      </c>
      <c r="E311" s="5" t="s">
        <v>15</v>
      </c>
      <c r="F311" s="5" t="s">
        <v>7</v>
      </c>
      <c r="G311" s="5">
        <v>1683</v>
      </c>
      <c r="H311" s="5">
        <v>23.09</v>
      </c>
      <c r="I311" s="5">
        <v>21.88</v>
      </c>
      <c r="J311" s="5">
        <v>253</v>
      </c>
      <c r="K311" s="5" t="s">
        <v>4</v>
      </c>
      <c r="L311" s="5" t="str">
        <f t="shared" si="4"/>
        <v>Delivered</v>
      </c>
      <c r="M311" t="str" cm="1">
        <f t="array" ref="M311">_xlfn.IFS(B311="Alpha_Inc","S001", B311="Delta_Logistics","S002", B311="Gamma_Co","S003", B311="Beta_Supplies","S004", B311="Epsilon_Group","S005")</f>
        <v>S002</v>
      </c>
      <c r="N311" t="str" cm="1">
        <f t="array" ref="N311">_xlfn.IFS(E311="Electronics","P001", E311="MRO","P002", E311="Office Supplies","P003", E311="Packaging","P004", E311="Raw Materials","P005")</f>
        <v>P005</v>
      </c>
    </row>
    <row r="312" spans="1:14" x14ac:dyDescent="0.2">
      <c r="A312" s="1" t="s">
        <v>326</v>
      </c>
      <c r="B312" s="2" t="s">
        <v>12</v>
      </c>
      <c r="C312" s="3">
        <v>45239</v>
      </c>
      <c r="D312" s="3">
        <v>45248</v>
      </c>
      <c r="E312" s="2" t="s">
        <v>13</v>
      </c>
      <c r="F312" s="2" t="s">
        <v>24</v>
      </c>
      <c r="G312" s="2">
        <v>247</v>
      </c>
      <c r="H312" s="2">
        <v>84.11</v>
      </c>
      <c r="I312" s="2">
        <v>71.97</v>
      </c>
      <c r="J312" s="2">
        <v>0</v>
      </c>
      <c r="K312" s="2" t="s">
        <v>4</v>
      </c>
      <c r="L312" s="2" t="str">
        <f t="shared" si="4"/>
        <v>Pending</v>
      </c>
      <c r="M312" t="str" cm="1">
        <f t="array" ref="M312">_xlfn.IFS(B312="Alpha_Inc","S001", B312="Delta_Logistics","S002", B312="Gamma_Co","S003", B312="Beta_Supplies","S004", B312="Epsilon_Group","S005")</f>
        <v>S004</v>
      </c>
      <c r="N312" t="str" cm="1">
        <f t="array" ref="N312">_xlfn.IFS(E312="Electronics","P001", E312="MRO","P002", E312="Office Supplies","P003", E312="Packaging","P004", E312="Raw Materials","P005")</f>
        <v>P004</v>
      </c>
    </row>
    <row r="313" spans="1:14" x14ac:dyDescent="0.2">
      <c r="A313" s="4" t="s">
        <v>327</v>
      </c>
      <c r="B313" s="5" t="s">
        <v>1</v>
      </c>
      <c r="C313" s="6">
        <v>45060</v>
      </c>
      <c r="D313" s="6">
        <v>45079</v>
      </c>
      <c r="E313" s="5" t="s">
        <v>10</v>
      </c>
      <c r="F313" s="5" t="s">
        <v>7</v>
      </c>
      <c r="G313" s="5">
        <v>1031</v>
      </c>
      <c r="H313" s="5">
        <v>102.01</v>
      </c>
      <c r="I313" s="5">
        <v>98.65</v>
      </c>
      <c r="J313" s="5">
        <v>0</v>
      </c>
      <c r="K313" s="5" t="s">
        <v>4</v>
      </c>
      <c r="L313" s="5" t="str">
        <f t="shared" si="4"/>
        <v>Delivered</v>
      </c>
      <c r="M313" t="str" cm="1">
        <f t="array" ref="M313">_xlfn.IFS(B313="Alpha_Inc","S001", B313="Delta_Logistics","S002", B313="Gamma_Co","S003", B313="Beta_Supplies","S004", B313="Epsilon_Group","S005")</f>
        <v>S001</v>
      </c>
      <c r="N313" t="str" cm="1">
        <f t="array" ref="N313">_xlfn.IFS(E313="Electronics","P001", E313="MRO","P002", E313="Office Supplies","P003", E313="Packaging","P004", E313="Raw Materials","P005")</f>
        <v>P002</v>
      </c>
    </row>
    <row r="314" spans="1:14" x14ac:dyDescent="0.2">
      <c r="A314" s="1" t="s">
        <v>328</v>
      </c>
      <c r="B314" s="2" t="s">
        <v>1</v>
      </c>
      <c r="C314" s="3">
        <v>44720</v>
      </c>
      <c r="D314" s="3">
        <v>44731</v>
      </c>
      <c r="E314" s="2" t="s">
        <v>13</v>
      </c>
      <c r="F314" s="2" t="s">
        <v>7</v>
      </c>
      <c r="G314" s="2">
        <v>1980</v>
      </c>
      <c r="H314" s="2">
        <v>26.97</v>
      </c>
      <c r="I314" s="2">
        <v>24.16</v>
      </c>
      <c r="J314" s="2">
        <v>41</v>
      </c>
      <c r="K314" s="2" t="s">
        <v>4</v>
      </c>
      <c r="L314" s="2" t="str">
        <f t="shared" si="4"/>
        <v>Delivered</v>
      </c>
      <c r="M314" t="str" cm="1">
        <f t="array" ref="M314">_xlfn.IFS(B314="Alpha_Inc","S001", B314="Delta_Logistics","S002", B314="Gamma_Co","S003", B314="Beta_Supplies","S004", B314="Epsilon_Group","S005")</f>
        <v>S001</v>
      </c>
      <c r="N314" t="str" cm="1">
        <f t="array" ref="N314">_xlfn.IFS(E314="Electronics","P001", E314="MRO","P002", E314="Office Supplies","P003", E314="Packaging","P004", E314="Raw Materials","P005")</f>
        <v>P004</v>
      </c>
    </row>
    <row r="315" spans="1:14" x14ac:dyDescent="0.2">
      <c r="A315" s="4" t="s">
        <v>329</v>
      </c>
      <c r="B315" s="5" t="s">
        <v>18</v>
      </c>
      <c r="C315" s="6">
        <v>44756</v>
      </c>
      <c r="D315" s="6">
        <v>44776</v>
      </c>
      <c r="E315" s="5" t="s">
        <v>15</v>
      </c>
      <c r="F315" s="5" t="s">
        <v>7</v>
      </c>
      <c r="G315" s="5">
        <v>1584</v>
      </c>
      <c r="H315" s="5">
        <v>16.46</v>
      </c>
      <c r="I315" s="5">
        <v>14.2</v>
      </c>
      <c r="J315" s="5">
        <v>57</v>
      </c>
      <c r="K315" s="5" t="s">
        <v>4</v>
      </c>
      <c r="L315" s="5" t="str">
        <f t="shared" si="4"/>
        <v>Delivered</v>
      </c>
      <c r="M315" t="str" cm="1">
        <f t="array" ref="M315">_xlfn.IFS(B315="Alpha_Inc","S001", B315="Delta_Logistics","S002", B315="Gamma_Co","S003", B315="Beta_Supplies","S004", B315="Epsilon_Group","S005")</f>
        <v>S005</v>
      </c>
      <c r="N315" t="str" cm="1">
        <f t="array" ref="N315">_xlfn.IFS(E315="Electronics","P001", E315="MRO","P002", E315="Office Supplies","P003", E315="Packaging","P004", E315="Raw Materials","P005")</f>
        <v>P005</v>
      </c>
    </row>
    <row r="316" spans="1:14" x14ac:dyDescent="0.2">
      <c r="A316" s="1" t="s">
        <v>330</v>
      </c>
      <c r="B316" s="2" t="s">
        <v>12</v>
      </c>
      <c r="C316" s="3">
        <v>44865</v>
      </c>
      <c r="D316" s="3">
        <v>44880</v>
      </c>
      <c r="E316" s="2" t="s">
        <v>2</v>
      </c>
      <c r="F316" s="2" t="s">
        <v>7</v>
      </c>
      <c r="G316" s="2">
        <v>801</v>
      </c>
      <c r="H316" s="2">
        <v>80.150000000000006</v>
      </c>
      <c r="I316" s="2">
        <v>70.91</v>
      </c>
      <c r="J316" s="2">
        <v>0</v>
      </c>
      <c r="K316" s="2" t="s">
        <v>4</v>
      </c>
      <c r="L316" s="2" t="str">
        <f t="shared" si="4"/>
        <v>Delivered</v>
      </c>
      <c r="M316" t="str" cm="1">
        <f t="array" ref="M316">_xlfn.IFS(B316="Alpha_Inc","S001", B316="Delta_Logistics","S002", B316="Gamma_Co","S003", B316="Beta_Supplies","S004", B316="Epsilon_Group","S005")</f>
        <v>S004</v>
      </c>
      <c r="N316" t="str" cm="1">
        <f t="array" ref="N316">_xlfn.IFS(E316="Electronics","P001", E316="MRO","P002", E316="Office Supplies","P003", E316="Packaging","P004", E316="Raw Materials","P005")</f>
        <v>P003</v>
      </c>
    </row>
    <row r="317" spans="1:14" x14ac:dyDescent="0.2">
      <c r="A317" s="4" t="s">
        <v>331</v>
      </c>
      <c r="B317" s="5" t="s">
        <v>12</v>
      </c>
      <c r="C317" s="6">
        <v>44784</v>
      </c>
      <c r="D317" s="6">
        <v>44798</v>
      </c>
      <c r="E317" s="5" t="s">
        <v>13</v>
      </c>
      <c r="F317" s="5" t="s">
        <v>7</v>
      </c>
      <c r="G317" s="5">
        <v>193</v>
      </c>
      <c r="H317" s="5">
        <v>63.86</v>
      </c>
      <c r="I317" s="5">
        <v>57.46</v>
      </c>
      <c r="J317" s="5">
        <v>0</v>
      </c>
      <c r="K317" s="5" t="s">
        <v>4</v>
      </c>
      <c r="L317" s="5" t="str">
        <f t="shared" si="4"/>
        <v>Delivered</v>
      </c>
      <c r="M317" t="str" cm="1">
        <f t="array" ref="M317">_xlfn.IFS(B317="Alpha_Inc","S001", B317="Delta_Logistics","S002", B317="Gamma_Co","S003", B317="Beta_Supplies","S004", B317="Epsilon_Group","S005")</f>
        <v>S004</v>
      </c>
      <c r="N317" t="str" cm="1">
        <f t="array" ref="N317">_xlfn.IFS(E317="Electronics","P001", E317="MRO","P002", E317="Office Supplies","P003", E317="Packaging","P004", E317="Raw Materials","P005")</f>
        <v>P004</v>
      </c>
    </row>
    <row r="318" spans="1:14" x14ac:dyDescent="0.2">
      <c r="A318" s="1" t="s">
        <v>332</v>
      </c>
      <c r="B318" s="2" t="s">
        <v>12</v>
      </c>
      <c r="C318" s="3">
        <v>44621</v>
      </c>
      <c r="D318" s="3">
        <v>44625</v>
      </c>
      <c r="E318" s="2" t="s">
        <v>15</v>
      </c>
      <c r="F318" s="2" t="s">
        <v>7</v>
      </c>
      <c r="G318" s="2">
        <v>658</v>
      </c>
      <c r="H318" s="2">
        <v>86.62</v>
      </c>
      <c r="I318" s="2">
        <v>79.849999999999994</v>
      </c>
      <c r="J318" s="2">
        <v>72</v>
      </c>
      <c r="K318" s="2" t="s">
        <v>4</v>
      </c>
      <c r="L318" s="2" t="str">
        <f t="shared" si="4"/>
        <v>Delivered</v>
      </c>
      <c r="M318" t="str" cm="1">
        <f t="array" ref="M318">_xlfn.IFS(B318="Alpha_Inc","S001", B318="Delta_Logistics","S002", B318="Gamma_Co","S003", B318="Beta_Supplies","S004", B318="Epsilon_Group","S005")</f>
        <v>S004</v>
      </c>
      <c r="N318" t="str" cm="1">
        <f t="array" ref="N318">_xlfn.IFS(E318="Electronics","P001", E318="MRO","P002", E318="Office Supplies","P003", E318="Packaging","P004", E318="Raw Materials","P005")</f>
        <v>P005</v>
      </c>
    </row>
    <row r="319" spans="1:14" x14ac:dyDescent="0.2">
      <c r="A319" s="4" t="s">
        <v>333</v>
      </c>
      <c r="B319" s="5" t="s">
        <v>18</v>
      </c>
      <c r="C319" s="6">
        <v>45155</v>
      </c>
      <c r="D319" s="6">
        <v>45173</v>
      </c>
      <c r="E319" s="5" t="s">
        <v>28</v>
      </c>
      <c r="F319" s="5" t="s">
        <v>7</v>
      </c>
      <c r="G319" s="5">
        <v>1274</v>
      </c>
      <c r="H319" s="5">
        <v>24.72</v>
      </c>
      <c r="I319" s="5">
        <v>23.36</v>
      </c>
      <c r="J319" s="5">
        <v>37</v>
      </c>
      <c r="K319" s="5" t="s">
        <v>4</v>
      </c>
      <c r="L319" s="5" t="str">
        <f t="shared" si="4"/>
        <v>Delivered</v>
      </c>
      <c r="M319" t="str" cm="1">
        <f t="array" ref="M319">_xlfn.IFS(B319="Alpha_Inc","S001", B319="Delta_Logistics","S002", B319="Gamma_Co","S003", B319="Beta_Supplies","S004", B319="Epsilon_Group","S005")</f>
        <v>S005</v>
      </c>
      <c r="N319" t="str" cm="1">
        <f t="array" ref="N319">_xlfn.IFS(E319="Electronics","P001", E319="MRO","P002", E319="Office Supplies","P003", E319="Packaging","P004", E319="Raw Materials","P005")</f>
        <v>P001</v>
      </c>
    </row>
    <row r="320" spans="1:14" x14ac:dyDescent="0.2">
      <c r="A320" s="1" t="s">
        <v>334</v>
      </c>
      <c r="B320" s="2" t="s">
        <v>18</v>
      </c>
      <c r="C320" s="3">
        <v>45117</v>
      </c>
      <c r="D320" s="3">
        <v>45124</v>
      </c>
      <c r="E320" s="2" t="s">
        <v>13</v>
      </c>
      <c r="F320" s="2" t="s">
        <v>22</v>
      </c>
      <c r="G320" s="2">
        <v>1197</v>
      </c>
      <c r="H320" s="2">
        <v>88.92</v>
      </c>
      <c r="I320" s="2">
        <v>78.819999999999993</v>
      </c>
      <c r="J320" s="2">
        <v>31</v>
      </c>
      <c r="K320" s="2" t="s">
        <v>4</v>
      </c>
      <c r="L320" s="2" t="str">
        <f t="shared" si="4"/>
        <v>Partially Delivered</v>
      </c>
      <c r="M320" t="str" cm="1">
        <f t="array" ref="M320">_xlfn.IFS(B320="Alpha_Inc","S001", B320="Delta_Logistics","S002", B320="Gamma_Co","S003", B320="Beta_Supplies","S004", B320="Epsilon_Group","S005")</f>
        <v>S005</v>
      </c>
      <c r="N320" t="str" cm="1">
        <f t="array" ref="N320">_xlfn.IFS(E320="Electronics","P001", E320="MRO","P002", E320="Office Supplies","P003", E320="Packaging","P004", E320="Raw Materials","P005")</f>
        <v>P004</v>
      </c>
    </row>
    <row r="321" spans="1:14" x14ac:dyDescent="0.2">
      <c r="A321" s="4" t="s">
        <v>335</v>
      </c>
      <c r="B321" s="5" t="s">
        <v>9</v>
      </c>
      <c r="C321" s="6">
        <v>44624</v>
      </c>
      <c r="D321" s="6">
        <v>44632</v>
      </c>
      <c r="E321" s="5" t="s">
        <v>28</v>
      </c>
      <c r="F321" s="5" t="s">
        <v>7</v>
      </c>
      <c r="G321" s="5">
        <v>236</v>
      </c>
      <c r="H321" s="5">
        <v>28.43</v>
      </c>
      <c r="I321" s="5">
        <v>28.11</v>
      </c>
      <c r="J321" s="5">
        <v>11</v>
      </c>
      <c r="K321" s="5" t="s">
        <v>4</v>
      </c>
      <c r="L321" s="5" t="str">
        <f t="shared" si="4"/>
        <v>Delivered</v>
      </c>
      <c r="M321" t="str" cm="1">
        <f t="array" ref="M321">_xlfn.IFS(B321="Alpha_Inc","S001", B321="Delta_Logistics","S002", B321="Gamma_Co","S003", B321="Beta_Supplies","S004", B321="Epsilon_Group","S005")</f>
        <v>S003</v>
      </c>
      <c r="N321" t="str" cm="1">
        <f t="array" ref="N321">_xlfn.IFS(E321="Electronics","P001", E321="MRO","P002", E321="Office Supplies","P003", E321="Packaging","P004", E321="Raw Materials","P005")</f>
        <v>P001</v>
      </c>
    </row>
    <row r="322" spans="1:14" x14ac:dyDescent="0.2">
      <c r="A322" s="1" t="s">
        <v>336</v>
      </c>
      <c r="B322" s="2" t="s">
        <v>9</v>
      </c>
      <c r="C322" s="3">
        <v>44883</v>
      </c>
      <c r="D322" s="3">
        <v>44898</v>
      </c>
      <c r="E322" s="2" t="s">
        <v>15</v>
      </c>
      <c r="F322" s="2" t="s">
        <v>22</v>
      </c>
      <c r="G322" s="2">
        <v>1399</v>
      </c>
      <c r="H322" s="2">
        <v>25.97</v>
      </c>
      <c r="I322" s="2">
        <v>22.19</v>
      </c>
      <c r="J322" s="2">
        <v>62</v>
      </c>
      <c r="K322" s="2" t="s">
        <v>4</v>
      </c>
      <c r="L322" s="2" t="str">
        <f t="shared" ref="L322:L385" si="5">IF(F322="Delivered", IF(E322="","Date Missing","Delivered"), F322)</f>
        <v>Partially Delivered</v>
      </c>
      <c r="M322" t="str" cm="1">
        <f t="array" ref="M322">_xlfn.IFS(B322="Alpha_Inc","S001", B322="Delta_Logistics","S002", B322="Gamma_Co","S003", B322="Beta_Supplies","S004", B322="Epsilon_Group","S005")</f>
        <v>S003</v>
      </c>
      <c r="N322" t="str" cm="1">
        <f t="array" ref="N322">_xlfn.IFS(E322="Electronics","P001", E322="MRO","P002", E322="Office Supplies","P003", E322="Packaging","P004", E322="Raw Materials","P005")</f>
        <v>P005</v>
      </c>
    </row>
    <row r="323" spans="1:14" x14ac:dyDescent="0.2">
      <c r="A323" s="4" t="s">
        <v>337</v>
      </c>
      <c r="B323" s="5" t="s">
        <v>9</v>
      </c>
      <c r="C323" s="6">
        <v>44620</v>
      </c>
      <c r="D323" s="6">
        <v>44624</v>
      </c>
      <c r="E323" s="5" t="s">
        <v>28</v>
      </c>
      <c r="F323" s="5" t="s">
        <v>7</v>
      </c>
      <c r="G323" s="5">
        <v>513</v>
      </c>
      <c r="H323" s="5">
        <v>24.91</v>
      </c>
      <c r="I323" s="5">
        <v>22.58</v>
      </c>
      <c r="J323" s="5">
        <v>29</v>
      </c>
      <c r="K323" s="5" t="s">
        <v>4</v>
      </c>
      <c r="L323" s="5" t="str">
        <f t="shared" si="5"/>
        <v>Delivered</v>
      </c>
      <c r="M323" t="str" cm="1">
        <f t="array" ref="M323">_xlfn.IFS(B323="Alpha_Inc","S001", B323="Delta_Logistics","S002", B323="Gamma_Co","S003", B323="Beta_Supplies","S004", B323="Epsilon_Group","S005")</f>
        <v>S003</v>
      </c>
      <c r="N323" t="str" cm="1">
        <f t="array" ref="N323">_xlfn.IFS(E323="Electronics","P001", E323="MRO","P002", E323="Office Supplies","P003", E323="Packaging","P004", E323="Raw Materials","P005")</f>
        <v>P001</v>
      </c>
    </row>
    <row r="324" spans="1:14" x14ac:dyDescent="0.2">
      <c r="A324" s="1" t="s">
        <v>338</v>
      </c>
      <c r="B324" s="2" t="s">
        <v>6</v>
      </c>
      <c r="C324" s="3">
        <v>44613</v>
      </c>
      <c r="D324" s="3">
        <v>44624</v>
      </c>
      <c r="E324" s="2" t="s">
        <v>10</v>
      </c>
      <c r="F324" s="2" t="s">
        <v>7</v>
      </c>
      <c r="G324" s="2">
        <v>1422</v>
      </c>
      <c r="H324" s="2">
        <v>83.73</v>
      </c>
      <c r="I324" s="2">
        <v>76.47</v>
      </c>
      <c r="J324" s="2">
        <v>198</v>
      </c>
      <c r="K324" s="2" t="s">
        <v>4</v>
      </c>
      <c r="L324" s="2" t="str">
        <f t="shared" si="5"/>
        <v>Delivered</v>
      </c>
      <c r="M324" t="str" cm="1">
        <f t="array" ref="M324">_xlfn.IFS(B324="Alpha_Inc","S001", B324="Delta_Logistics","S002", B324="Gamma_Co","S003", B324="Beta_Supplies","S004", B324="Epsilon_Group","S005")</f>
        <v>S002</v>
      </c>
      <c r="N324" t="str" cm="1">
        <f t="array" ref="N324">_xlfn.IFS(E324="Electronics","P001", E324="MRO","P002", E324="Office Supplies","P003", E324="Packaging","P004", E324="Raw Materials","P005")</f>
        <v>P002</v>
      </c>
    </row>
    <row r="325" spans="1:14" x14ac:dyDescent="0.2">
      <c r="A325" s="4" t="s">
        <v>339</v>
      </c>
      <c r="B325" s="5" t="s">
        <v>1</v>
      </c>
      <c r="C325" s="6">
        <v>45160</v>
      </c>
      <c r="D325" s="6">
        <v>45172</v>
      </c>
      <c r="E325" s="5" t="s">
        <v>2</v>
      </c>
      <c r="F325" s="5" t="s">
        <v>7</v>
      </c>
      <c r="G325" s="5">
        <v>1844</v>
      </c>
      <c r="H325" s="5">
        <v>76.510000000000005</v>
      </c>
      <c r="I325" s="5">
        <v>73.05</v>
      </c>
      <c r="J325" s="5">
        <v>0</v>
      </c>
      <c r="K325" s="5" t="s">
        <v>4</v>
      </c>
      <c r="L325" s="5" t="str">
        <f t="shared" si="5"/>
        <v>Delivered</v>
      </c>
      <c r="M325" t="str" cm="1">
        <f t="array" ref="M325">_xlfn.IFS(B325="Alpha_Inc","S001", B325="Delta_Logistics","S002", B325="Gamma_Co","S003", B325="Beta_Supplies","S004", B325="Epsilon_Group","S005")</f>
        <v>S001</v>
      </c>
      <c r="N325" t="str" cm="1">
        <f t="array" ref="N325">_xlfn.IFS(E325="Electronics","P001", E325="MRO","P002", E325="Office Supplies","P003", E325="Packaging","P004", E325="Raw Materials","P005")</f>
        <v>P003</v>
      </c>
    </row>
    <row r="326" spans="1:14" x14ac:dyDescent="0.2">
      <c r="A326" s="1" t="s">
        <v>340</v>
      </c>
      <c r="B326" s="2" t="s">
        <v>9</v>
      </c>
      <c r="C326" s="3">
        <v>45050</v>
      </c>
      <c r="D326" s="3">
        <f>Table1[[#This Row],[Order_Date]]+14</f>
        <v>45064</v>
      </c>
      <c r="E326" s="2" t="s">
        <v>28</v>
      </c>
      <c r="F326" s="2" t="s">
        <v>7</v>
      </c>
      <c r="G326" s="2">
        <v>709</v>
      </c>
      <c r="H326" s="2">
        <v>61.64</v>
      </c>
      <c r="I326" s="2">
        <v>54.55</v>
      </c>
      <c r="J326" s="2">
        <v>41</v>
      </c>
      <c r="K326" s="2" t="s">
        <v>4</v>
      </c>
      <c r="L326" s="2" t="str">
        <f t="shared" si="5"/>
        <v>Delivered</v>
      </c>
      <c r="M326" t="str" cm="1">
        <f t="array" ref="M326">_xlfn.IFS(B326="Alpha_Inc","S001", B326="Delta_Logistics","S002", B326="Gamma_Co","S003", B326="Beta_Supplies","S004", B326="Epsilon_Group","S005")</f>
        <v>S003</v>
      </c>
      <c r="N326" t="str" cm="1">
        <f t="array" ref="N326">_xlfn.IFS(E326="Electronics","P001", E326="MRO","P002", E326="Office Supplies","P003", E326="Packaging","P004", E326="Raw Materials","P005")</f>
        <v>P001</v>
      </c>
    </row>
    <row r="327" spans="1:14" x14ac:dyDescent="0.2">
      <c r="A327" s="4" t="s">
        <v>341</v>
      </c>
      <c r="B327" s="5" t="s">
        <v>6</v>
      </c>
      <c r="C327" s="6">
        <v>45076</v>
      </c>
      <c r="D327" s="6">
        <v>45092</v>
      </c>
      <c r="E327" s="5" t="s">
        <v>10</v>
      </c>
      <c r="F327" s="5" t="s">
        <v>7</v>
      </c>
      <c r="G327" s="5">
        <v>813</v>
      </c>
      <c r="H327" s="5">
        <v>45.68</v>
      </c>
      <c r="I327" s="5">
        <v>41.78</v>
      </c>
      <c r="J327" s="5">
        <v>0</v>
      </c>
      <c r="K327" s="5" t="s">
        <v>16</v>
      </c>
      <c r="L327" s="5" t="str">
        <f t="shared" si="5"/>
        <v>Delivered</v>
      </c>
      <c r="M327" t="str" cm="1">
        <f t="array" ref="M327">_xlfn.IFS(B327="Alpha_Inc","S001", B327="Delta_Logistics","S002", B327="Gamma_Co","S003", B327="Beta_Supplies","S004", B327="Epsilon_Group","S005")</f>
        <v>S002</v>
      </c>
      <c r="N327" t="str" cm="1">
        <f t="array" ref="N327">_xlfn.IFS(E327="Electronics","P001", E327="MRO","P002", E327="Office Supplies","P003", E327="Packaging","P004", E327="Raw Materials","P005")</f>
        <v>P002</v>
      </c>
    </row>
    <row r="328" spans="1:14" x14ac:dyDescent="0.2">
      <c r="A328" s="1" t="s">
        <v>342</v>
      </c>
      <c r="B328" s="2" t="s">
        <v>6</v>
      </c>
      <c r="C328" s="3">
        <v>45105</v>
      </c>
      <c r="D328" s="3">
        <v>45108</v>
      </c>
      <c r="E328" s="2" t="s">
        <v>2</v>
      </c>
      <c r="F328" s="2" t="s">
        <v>7</v>
      </c>
      <c r="G328" s="2">
        <v>1004</v>
      </c>
      <c r="H328" s="2">
        <v>96.51</v>
      </c>
      <c r="I328" s="2">
        <v>92.9</v>
      </c>
      <c r="J328" s="2">
        <v>146</v>
      </c>
      <c r="K328" s="2" t="s">
        <v>16</v>
      </c>
      <c r="L328" s="2" t="str">
        <f t="shared" si="5"/>
        <v>Delivered</v>
      </c>
      <c r="M328" t="str" cm="1">
        <f t="array" ref="M328">_xlfn.IFS(B328="Alpha_Inc","S001", B328="Delta_Logistics","S002", B328="Gamma_Co","S003", B328="Beta_Supplies","S004", B328="Epsilon_Group","S005")</f>
        <v>S002</v>
      </c>
      <c r="N328" t="str" cm="1">
        <f t="array" ref="N328">_xlfn.IFS(E328="Electronics","P001", E328="MRO","P002", E328="Office Supplies","P003", E328="Packaging","P004", E328="Raw Materials","P005")</f>
        <v>P003</v>
      </c>
    </row>
    <row r="329" spans="1:14" x14ac:dyDescent="0.2">
      <c r="A329" s="4" t="s">
        <v>343</v>
      </c>
      <c r="B329" s="5" t="s">
        <v>18</v>
      </c>
      <c r="C329" s="6">
        <v>44723</v>
      </c>
      <c r="D329" s="6">
        <v>44727</v>
      </c>
      <c r="E329" s="5" t="s">
        <v>15</v>
      </c>
      <c r="F329" s="5" t="s">
        <v>7</v>
      </c>
      <c r="G329" s="5">
        <v>452</v>
      </c>
      <c r="H329" s="5">
        <v>46.45</v>
      </c>
      <c r="I329" s="5">
        <v>40.39</v>
      </c>
      <c r="J329" s="5">
        <v>9</v>
      </c>
      <c r="K329" s="5" t="s">
        <v>4</v>
      </c>
      <c r="L329" s="5" t="str">
        <f t="shared" si="5"/>
        <v>Delivered</v>
      </c>
      <c r="M329" t="str" cm="1">
        <f t="array" ref="M329">_xlfn.IFS(B329="Alpha_Inc","S001", B329="Delta_Logistics","S002", B329="Gamma_Co","S003", B329="Beta_Supplies","S004", B329="Epsilon_Group","S005")</f>
        <v>S005</v>
      </c>
      <c r="N329" t="str" cm="1">
        <f t="array" ref="N329">_xlfn.IFS(E329="Electronics","P001", E329="MRO","P002", E329="Office Supplies","P003", E329="Packaging","P004", E329="Raw Materials","P005")</f>
        <v>P005</v>
      </c>
    </row>
    <row r="330" spans="1:14" x14ac:dyDescent="0.2">
      <c r="A330" s="1" t="s">
        <v>344</v>
      </c>
      <c r="B330" s="2" t="s">
        <v>12</v>
      </c>
      <c r="C330" s="3">
        <v>44620</v>
      </c>
      <c r="D330" s="3">
        <v>44632</v>
      </c>
      <c r="E330" s="2" t="s">
        <v>15</v>
      </c>
      <c r="F330" s="2" t="s">
        <v>24</v>
      </c>
      <c r="G330" s="2">
        <v>1419</v>
      </c>
      <c r="H330" s="2">
        <v>83.91</v>
      </c>
      <c r="I330" s="2">
        <v>71.459999999999994</v>
      </c>
      <c r="J330" s="2">
        <v>137</v>
      </c>
      <c r="K330" s="2" t="s">
        <v>4</v>
      </c>
      <c r="L330" s="2" t="str">
        <f t="shared" si="5"/>
        <v>Pending</v>
      </c>
      <c r="M330" t="str" cm="1">
        <f t="array" ref="M330">_xlfn.IFS(B330="Alpha_Inc","S001", B330="Delta_Logistics","S002", B330="Gamma_Co","S003", B330="Beta_Supplies","S004", B330="Epsilon_Group","S005")</f>
        <v>S004</v>
      </c>
      <c r="N330" t="str" cm="1">
        <f t="array" ref="N330">_xlfn.IFS(E330="Electronics","P001", E330="MRO","P002", E330="Office Supplies","P003", E330="Packaging","P004", E330="Raw Materials","P005")</f>
        <v>P005</v>
      </c>
    </row>
    <row r="331" spans="1:14" x14ac:dyDescent="0.2">
      <c r="A331" s="4" t="s">
        <v>345</v>
      </c>
      <c r="B331" s="5" t="s">
        <v>12</v>
      </c>
      <c r="C331" s="6">
        <v>45082</v>
      </c>
      <c r="D331" s="6">
        <v>45100</v>
      </c>
      <c r="E331" s="5" t="s">
        <v>13</v>
      </c>
      <c r="F331" s="5" t="s">
        <v>7</v>
      </c>
      <c r="G331" s="5">
        <v>1584</v>
      </c>
      <c r="H331" s="5">
        <v>53.73</v>
      </c>
      <c r="I331" s="5">
        <v>51.92</v>
      </c>
      <c r="J331" s="5">
        <v>167</v>
      </c>
      <c r="K331" s="5" t="s">
        <v>16</v>
      </c>
      <c r="L331" s="5" t="str">
        <f t="shared" si="5"/>
        <v>Delivered</v>
      </c>
      <c r="M331" t="str" cm="1">
        <f t="array" ref="M331">_xlfn.IFS(B331="Alpha_Inc","S001", B331="Delta_Logistics","S002", B331="Gamma_Co","S003", B331="Beta_Supplies","S004", B331="Epsilon_Group","S005")</f>
        <v>S004</v>
      </c>
      <c r="N331" t="str" cm="1">
        <f t="array" ref="N331">_xlfn.IFS(E331="Electronics","P001", E331="MRO","P002", E331="Office Supplies","P003", E331="Packaging","P004", E331="Raw Materials","P005")</f>
        <v>P004</v>
      </c>
    </row>
    <row r="332" spans="1:14" x14ac:dyDescent="0.2">
      <c r="A332" s="1" t="s">
        <v>346</v>
      </c>
      <c r="B332" s="2" t="s">
        <v>9</v>
      </c>
      <c r="C332" s="3">
        <v>44644</v>
      </c>
      <c r="D332" s="3">
        <v>44662</v>
      </c>
      <c r="E332" s="2" t="s">
        <v>10</v>
      </c>
      <c r="F332" s="2" t="s">
        <v>24</v>
      </c>
      <c r="G332" s="2">
        <v>196</v>
      </c>
      <c r="H332" s="2">
        <v>44.36</v>
      </c>
      <c r="I332" s="2">
        <v>43.81</v>
      </c>
      <c r="J332" s="2">
        <v>6</v>
      </c>
      <c r="K332" s="2" t="s">
        <v>4</v>
      </c>
      <c r="L332" s="2" t="str">
        <f t="shared" si="5"/>
        <v>Pending</v>
      </c>
      <c r="M332" t="str" cm="1">
        <f t="array" ref="M332">_xlfn.IFS(B332="Alpha_Inc","S001", B332="Delta_Logistics","S002", B332="Gamma_Co","S003", B332="Beta_Supplies","S004", B332="Epsilon_Group","S005")</f>
        <v>S003</v>
      </c>
      <c r="N332" t="str" cm="1">
        <f t="array" ref="N332">_xlfn.IFS(E332="Electronics","P001", E332="MRO","P002", E332="Office Supplies","P003", E332="Packaging","P004", E332="Raw Materials","P005")</f>
        <v>P002</v>
      </c>
    </row>
    <row r="333" spans="1:14" x14ac:dyDescent="0.2">
      <c r="A333" s="4" t="s">
        <v>347</v>
      </c>
      <c r="B333" s="5" t="s">
        <v>1</v>
      </c>
      <c r="C333" s="6">
        <v>44752</v>
      </c>
      <c r="D333" s="6">
        <v>44756</v>
      </c>
      <c r="E333" s="5" t="s">
        <v>2</v>
      </c>
      <c r="F333" s="5" t="s">
        <v>7</v>
      </c>
      <c r="G333" s="5">
        <v>1221</v>
      </c>
      <c r="H333" s="5">
        <v>53.19</v>
      </c>
      <c r="I333" s="5">
        <v>46.18</v>
      </c>
      <c r="J333" s="5">
        <v>29</v>
      </c>
      <c r="K333" s="5" t="s">
        <v>4</v>
      </c>
      <c r="L333" s="5" t="str">
        <f t="shared" si="5"/>
        <v>Delivered</v>
      </c>
      <c r="M333" t="str" cm="1">
        <f t="array" ref="M333">_xlfn.IFS(B333="Alpha_Inc","S001", B333="Delta_Logistics","S002", B333="Gamma_Co","S003", B333="Beta_Supplies","S004", B333="Epsilon_Group","S005")</f>
        <v>S001</v>
      </c>
      <c r="N333" t="str" cm="1">
        <f t="array" ref="N333">_xlfn.IFS(E333="Electronics","P001", E333="MRO","P002", E333="Office Supplies","P003", E333="Packaging","P004", E333="Raw Materials","P005")</f>
        <v>P003</v>
      </c>
    </row>
    <row r="334" spans="1:14" x14ac:dyDescent="0.2">
      <c r="A334" s="1" t="s">
        <v>348</v>
      </c>
      <c r="B334" s="2" t="s">
        <v>1</v>
      </c>
      <c r="C334" s="3">
        <v>44632</v>
      </c>
      <c r="D334" s="3">
        <v>44646</v>
      </c>
      <c r="E334" s="2" t="s">
        <v>13</v>
      </c>
      <c r="F334" s="2" t="s">
        <v>7</v>
      </c>
      <c r="G334" s="2">
        <v>913</v>
      </c>
      <c r="H334" s="2">
        <v>37.5</v>
      </c>
      <c r="I334" s="2">
        <v>36.200000000000003</v>
      </c>
      <c r="J334" s="2">
        <v>0</v>
      </c>
      <c r="K334" s="2" t="s">
        <v>4</v>
      </c>
      <c r="L334" s="2" t="str">
        <f t="shared" si="5"/>
        <v>Delivered</v>
      </c>
      <c r="M334" t="str" cm="1">
        <f t="array" ref="M334">_xlfn.IFS(B334="Alpha_Inc","S001", B334="Delta_Logistics","S002", B334="Gamma_Co","S003", B334="Beta_Supplies","S004", B334="Epsilon_Group","S005")</f>
        <v>S001</v>
      </c>
      <c r="N334" t="str" cm="1">
        <f t="array" ref="N334">_xlfn.IFS(E334="Electronics","P001", E334="MRO","P002", E334="Office Supplies","P003", E334="Packaging","P004", E334="Raw Materials","P005")</f>
        <v>P004</v>
      </c>
    </row>
    <row r="335" spans="1:14" x14ac:dyDescent="0.2">
      <c r="A335" s="4" t="s">
        <v>349</v>
      </c>
      <c r="B335" s="5" t="s">
        <v>1</v>
      </c>
      <c r="C335" s="6">
        <v>45171</v>
      </c>
      <c r="D335" s="6">
        <v>45173</v>
      </c>
      <c r="E335" s="5" t="s">
        <v>13</v>
      </c>
      <c r="F335" s="5" t="s">
        <v>7</v>
      </c>
      <c r="G335" s="5">
        <v>1784</v>
      </c>
      <c r="H335" s="5">
        <v>85.01</v>
      </c>
      <c r="I335" s="5">
        <v>76.69</v>
      </c>
      <c r="J335" s="5">
        <v>37</v>
      </c>
      <c r="K335" s="5" t="s">
        <v>4</v>
      </c>
      <c r="L335" s="5" t="str">
        <f t="shared" si="5"/>
        <v>Delivered</v>
      </c>
      <c r="M335" t="str" cm="1">
        <f t="array" ref="M335">_xlfn.IFS(B335="Alpha_Inc","S001", B335="Delta_Logistics","S002", B335="Gamma_Co","S003", B335="Beta_Supplies","S004", B335="Epsilon_Group","S005")</f>
        <v>S001</v>
      </c>
      <c r="N335" t="str" cm="1">
        <f t="array" ref="N335">_xlfn.IFS(E335="Electronics","P001", E335="MRO","P002", E335="Office Supplies","P003", E335="Packaging","P004", E335="Raw Materials","P005")</f>
        <v>P004</v>
      </c>
    </row>
    <row r="336" spans="1:14" x14ac:dyDescent="0.2">
      <c r="A336" s="1" t="s">
        <v>350</v>
      </c>
      <c r="B336" s="2" t="s">
        <v>6</v>
      </c>
      <c r="C336" s="3">
        <v>44631</v>
      </c>
      <c r="D336" s="3">
        <f>Table1[[#This Row],[Order_Date]]+14</f>
        <v>44645</v>
      </c>
      <c r="E336" s="2" t="s">
        <v>15</v>
      </c>
      <c r="F336" s="2" t="s">
        <v>7</v>
      </c>
      <c r="G336" s="2">
        <v>1893</v>
      </c>
      <c r="H336" s="2">
        <v>55.8</v>
      </c>
      <c r="I336" s="2">
        <v>52.35</v>
      </c>
      <c r="J336" s="2">
        <v>0</v>
      </c>
      <c r="K336" s="2" t="s">
        <v>4</v>
      </c>
      <c r="L336" s="2" t="str">
        <f t="shared" si="5"/>
        <v>Delivered</v>
      </c>
      <c r="M336" t="str" cm="1">
        <f t="array" ref="M336">_xlfn.IFS(B336="Alpha_Inc","S001", B336="Delta_Logistics","S002", B336="Gamma_Co","S003", B336="Beta_Supplies","S004", B336="Epsilon_Group","S005")</f>
        <v>S002</v>
      </c>
      <c r="N336" t="str" cm="1">
        <f t="array" ref="N336">_xlfn.IFS(E336="Electronics","P001", E336="MRO","P002", E336="Office Supplies","P003", E336="Packaging","P004", E336="Raw Materials","P005")</f>
        <v>P005</v>
      </c>
    </row>
    <row r="337" spans="1:14" x14ac:dyDescent="0.2">
      <c r="A337" s="4" t="s">
        <v>351</v>
      </c>
      <c r="B337" s="5" t="s">
        <v>6</v>
      </c>
      <c r="C337" s="6">
        <v>45253</v>
      </c>
      <c r="D337" s="6">
        <v>45265</v>
      </c>
      <c r="E337" s="5" t="s">
        <v>28</v>
      </c>
      <c r="F337" s="5" t="s">
        <v>24</v>
      </c>
      <c r="G337" s="5">
        <v>538</v>
      </c>
      <c r="H337" s="5">
        <v>34.299999999999997</v>
      </c>
      <c r="I337" s="5">
        <v>32.25</v>
      </c>
      <c r="J337" s="5">
        <v>84</v>
      </c>
      <c r="K337" s="5" t="s">
        <v>16</v>
      </c>
      <c r="L337" s="5" t="str">
        <f t="shared" si="5"/>
        <v>Pending</v>
      </c>
      <c r="M337" t="str" cm="1">
        <f t="array" ref="M337">_xlfn.IFS(B337="Alpha_Inc","S001", B337="Delta_Logistics","S002", B337="Gamma_Co","S003", B337="Beta_Supplies","S004", B337="Epsilon_Group","S005")</f>
        <v>S002</v>
      </c>
      <c r="N337" t="str" cm="1">
        <f t="array" ref="N337">_xlfn.IFS(E337="Electronics","P001", E337="MRO","P002", E337="Office Supplies","P003", E337="Packaging","P004", E337="Raw Materials","P005")</f>
        <v>P001</v>
      </c>
    </row>
    <row r="338" spans="1:14" x14ac:dyDescent="0.2">
      <c r="A338" s="1" t="s">
        <v>352</v>
      </c>
      <c r="B338" s="2" t="s">
        <v>6</v>
      </c>
      <c r="C338" s="3">
        <v>44802</v>
      </c>
      <c r="D338" s="3">
        <v>44819</v>
      </c>
      <c r="E338" s="2" t="s">
        <v>2</v>
      </c>
      <c r="F338" s="2" t="s">
        <v>24</v>
      </c>
      <c r="G338" s="2">
        <v>978</v>
      </c>
      <c r="H338" s="2">
        <v>94.15</v>
      </c>
      <c r="I338" s="2">
        <v>87.7</v>
      </c>
      <c r="J338" s="2">
        <v>149</v>
      </c>
      <c r="K338" s="2" t="s">
        <v>16</v>
      </c>
      <c r="L338" s="2" t="str">
        <f t="shared" si="5"/>
        <v>Pending</v>
      </c>
      <c r="M338" t="str" cm="1">
        <f t="array" ref="M338">_xlfn.IFS(B338="Alpha_Inc","S001", B338="Delta_Logistics","S002", B338="Gamma_Co","S003", B338="Beta_Supplies","S004", B338="Epsilon_Group","S005")</f>
        <v>S002</v>
      </c>
      <c r="N338" t="str" cm="1">
        <f t="array" ref="N338">_xlfn.IFS(E338="Electronics","P001", E338="MRO","P002", E338="Office Supplies","P003", E338="Packaging","P004", E338="Raw Materials","P005")</f>
        <v>P003</v>
      </c>
    </row>
    <row r="339" spans="1:14" x14ac:dyDescent="0.2">
      <c r="A339" s="4" t="s">
        <v>353</v>
      </c>
      <c r="B339" s="5" t="s">
        <v>18</v>
      </c>
      <c r="C339" s="6">
        <v>44975</v>
      </c>
      <c r="D339" s="6">
        <v>44991</v>
      </c>
      <c r="E339" s="5" t="s">
        <v>15</v>
      </c>
      <c r="F339" s="5" t="s">
        <v>3</v>
      </c>
      <c r="G339" s="5">
        <v>1713</v>
      </c>
      <c r="H339" s="5">
        <v>47.45</v>
      </c>
      <c r="I339" s="5">
        <v>42.05</v>
      </c>
      <c r="J339" s="5">
        <v>53</v>
      </c>
      <c r="K339" s="5" t="s">
        <v>4</v>
      </c>
      <c r="L339" s="5" t="str">
        <f t="shared" si="5"/>
        <v>Cancelled</v>
      </c>
      <c r="M339" t="str" cm="1">
        <f t="array" ref="M339">_xlfn.IFS(B339="Alpha_Inc","S001", B339="Delta_Logistics","S002", B339="Gamma_Co","S003", B339="Beta_Supplies","S004", B339="Epsilon_Group","S005")</f>
        <v>S005</v>
      </c>
      <c r="N339" t="str" cm="1">
        <f t="array" ref="N339">_xlfn.IFS(E339="Electronics","P001", E339="MRO","P002", E339="Office Supplies","P003", E339="Packaging","P004", E339="Raw Materials","P005")</f>
        <v>P005</v>
      </c>
    </row>
    <row r="340" spans="1:14" x14ac:dyDescent="0.2">
      <c r="A340" s="1" t="s">
        <v>354</v>
      </c>
      <c r="B340" s="2" t="s">
        <v>6</v>
      </c>
      <c r="C340" s="3">
        <v>44684</v>
      </c>
      <c r="D340" s="3">
        <v>44688</v>
      </c>
      <c r="E340" s="2" t="s">
        <v>15</v>
      </c>
      <c r="F340" s="2" t="s">
        <v>24</v>
      </c>
      <c r="G340" s="2">
        <v>600</v>
      </c>
      <c r="H340" s="2">
        <v>60.1</v>
      </c>
      <c r="I340" s="2">
        <v>57.92</v>
      </c>
      <c r="J340" s="2">
        <v>95</v>
      </c>
      <c r="K340" s="2" t="s">
        <v>16</v>
      </c>
      <c r="L340" s="2" t="str">
        <f t="shared" si="5"/>
        <v>Pending</v>
      </c>
      <c r="M340" t="str" cm="1">
        <f t="array" ref="M340">_xlfn.IFS(B340="Alpha_Inc","S001", B340="Delta_Logistics","S002", B340="Gamma_Co","S003", B340="Beta_Supplies","S004", B340="Epsilon_Group","S005")</f>
        <v>S002</v>
      </c>
      <c r="N340" t="str" cm="1">
        <f t="array" ref="N340">_xlfn.IFS(E340="Electronics","P001", E340="MRO","P002", E340="Office Supplies","P003", E340="Packaging","P004", E340="Raw Materials","P005")</f>
        <v>P005</v>
      </c>
    </row>
    <row r="341" spans="1:14" x14ac:dyDescent="0.2">
      <c r="A341" s="4" t="s">
        <v>355</v>
      </c>
      <c r="B341" s="5" t="s">
        <v>1</v>
      </c>
      <c r="C341" s="6">
        <v>45145</v>
      </c>
      <c r="D341" s="6">
        <v>45163</v>
      </c>
      <c r="E341" s="5" t="s">
        <v>28</v>
      </c>
      <c r="F341" s="5" t="s">
        <v>24</v>
      </c>
      <c r="G341" s="5">
        <v>387</v>
      </c>
      <c r="H341" s="5">
        <v>100.28</v>
      </c>
      <c r="I341" s="5">
        <v>85.54</v>
      </c>
      <c r="J341" s="5">
        <v>5</v>
      </c>
      <c r="K341" s="5" t="s">
        <v>4</v>
      </c>
      <c r="L341" s="5" t="str">
        <f t="shared" si="5"/>
        <v>Pending</v>
      </c>
      <c r="M341" t="str" cm="1">
        <f t="array" ref="M341">_xlfn.IFS(B341="Alpha_Inc","S001", B341="Delta_Logistics","S002", B341="Gamma_Co","S003", B341="Beta_Supplies","S004", B341="Epsilon_Group","S005")</f>
        <v>S001</v>
      </c>
      <c r="N341" t="str" cm="1">
        <f t="array" ref="N341">_xlfn.IFS(E341="Electronics","P001", E341="MRO","P002", E341="Office Supplies","P003", E341="Packaging","P004", E341="Raw Materials","P005")</f>
        <v>P001</v>
      </c>
    </row>
    <row r="342" spans="1:14" x14ac:dyDescent="0.2">
      <c r="A342" s="1" t="s">
        <v>356</v>
      </c>
      <c r="B342" s="2" t="s">
        <v>1</v>
      </c>
      <c r="C342" s="3">
        <v>44814</v>
      </c>
      <c r="D342" s="3">
        <v>44823</v>
      </c>
      <c r="E342" s="2" t="s">
        <v>10</v>
      </c>
      <c r="F342" s="2" t="s">
        <v>24</v>
      </c>
      <c r="G342" s="2">
        <v>921</v>
      </c>
      <c r="H342" s="2">
        <v>68.83</v>
      </c>
      <c r="I342" s="2">
        <v>59.13</v>
      </c>
      <c r="J342" s="2">
        <v>22</v>
      </c>
      <c r="K342" s="2" t="s">
        <v>4</v>
      </c>
      <c r="L342" s="2" t="str">
        <f t="shared" si="5"/>
        <v>Pending</v>
      </c>
      <c r="M342" t="str" cm="1">
        <f t="array" ref="M342">_xlfn.IFS(B342="Alpha_Inc","S001", B342="Delta_Logistics","S002", B342="Gamma_Co","S003", B342="Beta_Supplies","S004", B342="Epsilon_Group","S005")</f>
        <v>S001</v>
      </c>
      <c r="N342" t="str" cm="1">
        <f t="array" ref="N342">_xlfn.IFS(E342="Electronics","P001", E342="MRO","P002", E342="Office Supplies","P003", E342="Packaging","P004", E342="Raw Materials","P005")</f>
        <v>P002</v>
      </c>
    </row>
    <row r="343" spans="1:14" x14ac:dyDescent="0.2">
      <c r="A343" s="4" t="s">
        <v>357</v>
      </c>
      <c r="B343" s="5" t="s">
        <v>12</v>
      </c>
      <c r="C343" s="6">
        <v>45154</v>
      </c>
      <c r="D343" s="6">
        <v>45168</v>
      </c>
      <c r="E343" s="5" t="s">
        <v>10</v>
      </c>
      <c r="F343" s="5" t="s">
        <v>7</v>
      </c>
      <c r="G343" s="5">
        <v>690</v>
      </c>
      <c r="H343" s="5">
        <v>22.47</v>
      </c>
      <c r="I343" s="5">
        <v>21.94</v>
      </c>
      <c r="J343" s="5">
        <v>77</v>
      </c>
      <c r="K343" s="5" t="s">
        <v>4</v>
      </c>
      <c r="L343" s="5" t="str">
        <f t="shared" si="5"/>
        <v>Delivered</v>
      </c>
      <c r="M343" t="str" cm="1">
        <f t="array" ref="M343">_xlfn.IFS(B343="Alpha_Inc","S001", B343="Delta_Logistics","S002", B343="Gamma_Co","S003", B343="Beta_Supplies","S004", B343="Epsilon_Group","S005")</f>
        <v>S004</v>
      </c>
      <c r="N343" t="str" cm="1">
        <f t="array" ref="N343">_xlfn.IFS(E343="Electronics","P001", E343="MRO","P002", E343="Office Supplies","P003", E343="Packaging","P004", E343="Raw Materials","P005")</f>
        <v>P002</v>
      </c>
    </row>
    <row r="344" spans="1:14" x14ac:dyDescent="0.2">
      <c r="A344" s="1" t="s">
        <v>358</v>
      </c>
      <c r="B344" s="2" t="s">
        <v>1</v>
      </c>
      <c r="C344" s="3">
        <v>45170</v>
      </c>
      <c r="D344" s="3">
        <v>45190</v>
      </c>
      <c r="E344" s="2" t="s">
        <v>2</v>
      </c>
      <c r="F344" s="2" t="s">
        <v>3</v>
      </c>
      <c r="G344" s="2">
        <v>1852</v>
      </c>
      <c r="H344" s="2">
        <v>104.04</v>
      </c>
      <c r="I344" s="2">
        <v>94.89</v>
      </c>
      <c r="J344" s="2">
        <v>36</v>
      </c>
      <c r="K344" s="2" t="s">
        <v>4</v>
      </c>
      <c r="L344" s="2" t="str">
        <f t="shared" si="5"/>
        <v>Cancelled</v>
      </c>
      <c r="M344" t="str" cm="1">
        <f t="array" ref="M344">_xlfn.IFS(B344="Alpha_Inc","S001", B344="Delta_Logistics","S002", B344="Gamma_Co","S003", B344="Beta_Supplies","S004", B344="Epsilon_Group","S005")</f>
        <v>S001</v>
      </c>
      <c r="N344" t="str" cm="1">
        <f t="array" ref="N344">_xlfn.IFS(E344="Electronics","P001", E344="MRO","P002", E344="Office Supplies","P003", E344="Packaging","P004", E344="Raw Materials","P005")</f>
        <v>P003</v>
      </c>
    </row>
    <row r="345" spans="1:14" x14ac:dyDescent="0.2">
      <c r="A345" s="4" t="s">
        <v>359</v>
      </c>
      <c r="B345" s="5" t="s">
        <v>6</v>
      </c>
      <c r="C345" s="6">
        <v>44602</v>
      </c>
      <c r="D345" s="6">
        <v>44620</v>
      </c>
      <c r="E345" s="5" t="s">
        <v>28</v>
      </c>
      <c r="F345" s="5" t="s">
        <v>7</v>
      </c>
      <c r="G345" s="5">
        <v>522</v>
      </c>
      <c r="H345" s="5">
        <v>66.83</v>
      </c>
      <c r="I345" s="5">
        <v>58.01</v>
      </c>
      <c r="J345" s="5">
        <v>74</v>
      </c>
      <c r="K345" s="5" t="s">
        <v>4</v>
      </c>
      <c r="L345" s="5" t="str">
        <f t="shared" si="5"/>
        <v>Delivered</v>
      </c>
      <c r="M345" t="str" cm="1">
        <f t="array" ref="M345">_xlfn.IFS(B345="Alpha_Inc","S001", B345="Delta_Logistics","S002", B345="Gamma_Co","S003", B345="Beta_Supplies","S004", B345="Epsilon_Group","S005")</f>
        <v>S002</v>
      </c>
      <c r="N345" t="str" cm="1">
        <f t="array" ref="N345">_xlfn.IFS(E345="Electronics","P001", E345="MRO","P002", E345="Office Supplies","P003", E345="Packaging","P004", E345="Raw Materials","P005")</f>
        <v>P001</v>
      </c>
    </row>
    <row r="346" spans="1:14" x14ac:dyDescent="0.2">
      <c r="A346" s="1" t="s">
        <v>360</v>
      </c>
      <c r="B346" s="2" t="s">
        <v>6</v>
      </c>
      <c r="C346" s="3">
        <v>45196</v>
      </c>
      <c r="D346" s="3">
        <v>45205</v>
      </c>
      <c r="E346" s="2" t="s">
        <v>28</v>
      </c>
      <c r="F346" s="2" t="s">
        <v>7</v>
      </c>
      <c r="G346" s="2">
        <v>200</v>
      </c>
      <c r="H346" s="2">
        <v>44.16</v>
      </c>
      <c r="I346" s="2">
        <v>43.13</v>
      </c>
      <c r="J346" s="2">
        <v>21</v>
      </c>
      <c r="K346" s="2" t="s">
        <v>4</v>
      </c>
      <c r="L346" s="2" t="str">
        <f t="shared" si="5"/>
        <v>Delivered</v>
      </c>
      <c r="M346" t="str" cm="1">
        <f t="array" ref="M346">_xlfn.IFS(B346="Alpha_Inc","S001", B346="Delta_Logistics","S002", B346="Gamma_Co","S003", B346="Beta_Supplies","S004", B346="Epsilon_Group","S005")</f>
        <v>S002</v>
      </c>
      <c r="N346" t="str" cm="1">
        <f t="array" ref="N346">_xlfn.IFS(E346="Electronics","P001", E346="MRO","P002", E346="Office Supplies","P003", E346="Packaging","P004", E346="Raw Materials","P005")</f>
        <v>P001</v>
      </c>
    </row>
    <row r="347" spans="1:14" x14ac:dyDescent="0.2">
      <c r="A347" s="4" t="s">
        <v>361</v>
      </c>
      <c r="B347" s="5" t="s">
        <v>9</v>
      </c>
      <c r="C347" s="6">
        <v>44645</v>
      </c>
      <c r="D347" s="6">
        <v>44654</v>
      </c>
      <c r="E347" s="5" t="s">
        <v>13</v>
      </c>
      <c r="F347" s="5" t="s">
        <v>7</v>
      </c>
      <c r="G347" s="5">
        <v>1488</v>
      </c>
      <c r="H347" s="5">
        <v>22.76</v>
      </c>
      <c r="I347" s="5">
        <v>21.99</v>
      </c>
      <c r="J347" s="5">
        <v>0</v>
      </c>
      <c r="K347" s="5" t="s">
        <v>4</v>
      </c>
      <c r="L347" s="5" t="str">
        <f t="shared" si="5"/>
        <v>Delivered</v>
      </c>
      <c r="M347" t="str" cm="1">
        <f t="array" ref="M347">_xlfn.IFS(B347="Alpha_Inc","S001", B347="Delta_Logistics","S002", B347="Gamma_Co","S003", B347="Beta_Supplies","S004", B347="Epsilon_Group","S005")</f>
        <v>S003</v>
      </c>
      <c r="N347" t="str" cm="1">
        <f t="array" ref="N347">_xlfn.IFS(E347="Electronics","P001", E347="MRO","P002", E347="Office Supplies","P003", E347="Packaging","P004", E347="Raw Materials","P005")</f>
        <v>P004</v>
      </c>
    </row>
    <row r="348" spans="1:14" x14ac:dyDescent="0.2">
      <c r="A348" s="1" t="s">
        <v>362</v>
      </c>
      <c r="B348" s="2" t="s">
        <v>18</v>
      </c>
      <c r="C348" s="3">
        <v>44991</v>
      </c>
      <c r="D348" s="3">
        <v>45001</v>
      </c>
      <c r="E348" s="2" t="s">
        <v>28</v>
      </c>
      <c r="F348" s="2" t="s">
        <v>7</v>
      </c>
      <c r="G348" s="2">
        <v>1371</v>
      </c>
      <c r="H348" s="2">
        <v>87.16</v>
      </c>
      <c r="I348" s="2">
        <v>78.13</v>
      </c>
      <c r="J348" s="2">
        <v>43</v>
      </c>
      <c r="K348" s="2" t="s">
        <v>4</v>
      </c>
      <c r="L348" s="2" t="str">
        <f t="shared" si="5"/>
        <v>Delivered</v>
      </c>
      <c r="M348" t="str" cm="1">
        <f t="array" ref="M348">_xlfn.IFS(B348="Alpha_Inc","S001", B348="Delta_Logistics","S002", B348="Gamma_Co","S003", B348="Beta_Supplies","S004", B348="Epsilon_Group","S005")</f>
        <v>S005</v>
      </c>
      <c r="N348" t="str" cm="1">
        <f t="array" ref="N348">_xlfn.IFS(E348="Electronics","P001", E348="MRO","P002", E348="Office Supplies","P003", E348="Packaging","P004", E348="Raw Materials","P005")</f>
        <v>P001</v>
      </c>
    </row>
    <row r="349" spans="1:14" x14ac:dyDescent="0.2">
      <c r="A349" s="4" t="s">
        <v>363</v>
      </c>
      <c r="B349" s="5" t="s">
        <v>1</v>
      </c>
      <c r="C349" s="6">
        <v>45235</v>
      </c>
      <c r="D349" s="6">
        <f>Table1[[#This Row],[Order_Date]]+14</f>
        <v>45249</v>
      </c>
      <c r="E349" s="5" t="s">
        <v>2</v>
      </c>
      <c r="F349" s="5" t="s">
        <v>7</v>
      </c>
      <c r="G349" s="5">
        <v>1684</v>
      </c>
      <c r="H349" s="5">
        <v>73.05</v>
      </c>
      <c r="I349" s="5">
        <v>62.53</v>
      </c>
      <c r="J349" s="5">
        <v>0</v>
      </c>
      <c r="K349" s="5" t="s">
        <v>4</v>
      </c>
      <c r="L349" s="5" t="str">
        <f t="shared" si="5"/>
        <v>Delivered</v>
      </c>
      <c r="M349" t="str" cm="1">
        <f t="array" ref="M349">_xlfn.IFS(B349="Alpha_Inc","S001", B349="Delta_Logistics","S002", B349="Gamma_Co","S003", B349="Beta_Supplies","S004", B349="Epsilon_Group","S005")</f>
        <v>S001</v>
      </c>
      <c r="N349" t="str" cm="1">
        <f t="array" ref="N349">_xlfn.IFS(E349="Electronics","P001", E349="MRO","P002", E349="Office Supplies","P003", E349="Packaging","P004", E349="Raw Materials","P005")</f>
        <v>P003</v>
      </c>
    </row>
    <row r="350" spans="1:14" x14ac:dyDescent="0.2">
      <c r="A350" s="1" t="s">
        <v>364</v>
      </c>
      <c r="B350" s="2" t="s">
        <v>18</v>
      </c>
      <c r="C350" s="3">
        <v>45159</v>
      </c>
      <c r="D350" s="3">
        <v>45165</v>
      </c>
      <c r="E350" s="2" t="s">
        <v>28</v>
      </c>
      <c r="F350" s="2" t="s">
        <v>7</v>
      </c>
      <c r="G350" s="2">
        <v>312</v>
      </c>
      <c r="H350" s="2">
        <v>63.52</v>
      </c>
      <c r="I350" s="2">
        <v>58.09</v>
      </c>
      <c r="J350" s="2">
        <v>0</v>
      </c>
      <c r="K350" s="2" t="s">
        <v>4</v>
      </c>
      <c r="L350" s="2" t="str">
        <f t="shared" si="5"/>
        <v>Delivered</v>
      </c>
      <c r="M350" t="str" cm="1">
        <f t="array" ref="M350">_xlfn.IFS(B350="Alpha_Inc","S001", B350="Delta_Logistics","S002", B350="Gamma_Co","S003", B350="Beta_Supplies","S004", B350="Epsilon_Group","S005")</f>
        <v>S005</v>
      </c>
      <c r="N350" t="str" cm="1">
        <f t="array" ref="N350">_xlfn.IFS(E350="Electronics","P001", E350="MRO","P002", E350="Office Supplies","P003", E350="Packaging","P004", E350="Raw Materials","P005")</f>
        <v>P001</v>
      </c>
    </row>
    <row r="351" spans="1:14" x14ac:dyDescent="0.2">
      <c r="A351" s="4" t="s">
        <v>365</v>
      </c>
      <c r="B351" s="5" t="s">
        <v>1</v>
      </c>
      <c r="C351" s="6">
        <v>45140</v>
      </c>
      <c r="D351" s="6">
        <v>45159</v>
      </c>
      <c r="E351" s="5" t="s">
        <v>13</v>
      </c>
      <c r="F351" s="5" t="s">
        <v>3</v>
      </c>
      <c r="G351" s="5">
        <v>1837</v>
      </c>
      <c r="H351" s="5">
        <v>99.04</v>
      </c>
      <c r="I351" s="5">
        <v>86.51</v>
      </c>
      <c r="J351" s="5">
        <v>39</v>
      </c>
      <c r="K351" s="5" t="s">
        <v>4</v>
      </c>
      <c r="L351" s="5" t="str">
        <f t="shared" si="5"/>
        <v>Cancelled</v>
      </c>
      <c r="M351" t="str" cm="1">
        <f t="array" ref="M351">_xlfn.IFS(B351="Alpha_Inc","S001", B351="Delta_Logistics","S002", B351="Gamma_Co","S003", B351="Beta_Supplies","S004", B351="Epsilon_Group","S005")</f>
        <v>S001</v>
      </c>
      <c r="N351" t="str" cm="1">
        <f t="array" ref="N351">_xlfn.IFS(E351="Electronics","P001", E351="MRO","P002", E351="Office Supplies","P003", E351="Packaging","P004", E351="Raw Materials","P005")</f>
        <v>P004</v>
      </c>
    </row>
    <row r="352" spans="1:14" x14ac:dyDescent="0.2">
      <c r="A352" s="1" t="s">
        <v>366</v>
      </c>
      <c r="B352" s="2" t="s">
        <v>12</v>
      </c>
      <c r="C352" s="3">
        <v>45097</v>
      </c>
      <c r="D352" s="3">
        <v>45100</v>
      </c>
      <c r="E352" s="2" t="s">
        <v>10</v>
      </c>
      <c r="F352" s="2" t="s">
        <v>7</v>
      </c>
      <c r="G352" s="2">
        <v>193</v>
      </c>
      <c r="H352" s="2">
        <v>87.86</v>
      </c>
      <c r="I352" s="2">
        <v>81.739999999999995</v>
      </c>
      <c r="J352" s="2">
        <v>21</v>
      </c>
      <c r="K352" s="2" t="s">
        <v>4</v>
      </c>
      <c r="L352" s="2" t="str">
        <f t="shared" si="5"/>
        <v>Delivered</v>
      </c>
      <c r="M352" t="str" cm="1">
        <f t="array" ref="M352">_xlfn.IFS(B352="Alpha_Inc","S001", B352="Delta_Logistics","S002", B352="Gamma_Co","S003", B352="Beta_Supplies","S004", B352="Epsilon_Group","S005")</f>
        <v>S004</v>
      </c>
      <c r="N352" t="str" cm="1">
        <f t="array" ref="N352">_xlfn.IFS(E352="Electronics","P001", E352="MRO","P002", E352="Office Supplies","P003", E352="Packaging","P004", E352="Raw Materials","P005")</f>
        <v>P002</v>
      </c>
    </row>
    <row r="353" spans="1:14" x14ac:dyDescent="0.2">
      <c r="A353" s="4" t="s">
        <v>367</v>
      </c>
      <c r="B353" s="5" t="s">
        <v>12</v>
      </c>
      <c r="C353" s="6">
        <v>44885</v>
      </c>
      <c r="D353" s="6">
        <v>44886</v>
      </c>
      <c r="E353" s="5" t="s">
        <v>28</v>
      </c>
      <c r="F353" s="5" t="s">
        <v>7</v>
      </c>
      <c r="G353" s="5">
        <v>395</v>
      </c>
      <c r="H353" s="5">
        <v>24.83</v>
      </c>
      <c r="I353" s="5">
        <v>23.96</v>
      </c>
      <c r="J353" s="5">
        <v>31</v>
      </c>
      <c r="K353" s="5" t="s">
        <v>4</v>
      </c>
      <c r="L353" s="5" t="str">
        <f t="shared" si="5"/>
        <v>Delivered</v>
      </c>
      <c r="M353" t="str" cm="1">
        <f t="array" ref="M353">_xlfn.IFS(B353="Alpha_Inc","S001", B353="Delta_Logistics","S002", B353="Gamma_Co","S003", B353="Beta_Supplies","S004", B353="Epsilon_Group","S005")</f>
        <v>S004</v>
      </c>
      <c r="N353" t="str" cm="1">
        <f t="array" ref="N353">_xlfn.IFS(E353="Electronics","P001", E353="MRO","P002", E353="Office Supplies","P003", E353="Packaging","P004", E353="Raw Materials","P005")</f>
        <v>P001</v>
      </c>
    </row>
    <row r="354" spans="1:14" x14ac:dyDescent="0.2">
      <c r="A354" s="1" t="s">
        <v>368</v>
      </c>
      <c r="B354" s="2" t="s">
        <v>18</v>
      </c>
      <c r="C354" s="3">
        <v>44829</v>
      </c>
      <c r="D354" s="3">
        <v>44846</v>
      </c>
      <c r="E354" s="2" t="s">
        <v>28</v>
      </c>
      <c r="F354" s="2" t="s">
        <v>3</v>
      </c>
      <c r="G354" s="2">
        <v>673</v>
      </c>
      <c r="H354" s="2">
        <v>39.58</v>
      </c>
      <c r="I354" s="2">
        <v>35.83</v>
      </c>
      <c r="J354" s="2">
        <v>25</v>
      </c>
      <c r="K354" s="2" t="s">
        <v>4</v>
      </c>
      <c r="L354" s="2" t="str">
        <f t="shared" si="5"/>
        <v>Cancelled</v>
      </c>
      <c r="M354" t="str" cm="1">
        <f t="array" ref="M354">_xlfn.IFS(B354="Alpha_Inc","S001", B354="Delta_Logistics","S002", B354="Gamma_Co","S003", B354="Beta_Supplies","S004", B354="Epsilon_Group","S005")</f>
        <v>S005</v>
      </c>
      <c r="N354" t="str" cm="1">
        <f t="array" ref="N354">_xlfn.IFS(E354="Electronics","P001", E354="MRO","P002", E354="Office Supplies","P003", E354="Packaging","P004", E354="Raw Materials","P005")</f>
        <v>P001</v>
      </c>
    </row>
    <row r="355" spans="1:14" x14ac:dyDescent="0.2">
      <c r="A355" s="4" t="s">
        <v>369</v>
      </c>
      <c r="B355" s="5" t="s">
        <v>6</v>
      </c>
      <c r="C355" s="6">
        <v>44771</v>
      </c>
      <c r="D355" s="6">
        <v>44785</v>
      </c>
      <c r="E355" s="5" t="s">
        <v>2</v>
      </c>
      <c r="F355" s="5" t="s">
        <v>3</v>
      </c>
      <c r="G355" s="5">
        <v>1066</v>
      </c>
      <c r="H355" s="5">
        <v>33.33</v>
      </c>
      <c r="I355" s="5">
        <v>28.47</v>
      </c>
      <c r="J355" s="5">
        <v>162</v>
      </c>
      <c r="K355" s="5" t="s">
        <v>16</v>
      </c>
      <c r="L355" s="5" t="str">
        <f t="shared" si="5"/>
        <v>Cancelled</v>
      </c>
      <c r="M355" t="str" cm="1">
        <f t="array" ref="M355">_xlfn.IFS(B355="Alpha_Inc","S001", B355="Delta_Logistics","S002", B355="Gamma_Co","S003", B355="Beta_Supplies","S004", B355="Epsilon_Group","S005")</f>
        <v>S002</v>
      </c>
      <c r="N355" t="str" cm="1">
        <f t="array" ref="N355">_xlfn.IFS(E355="Electronics","P001", E355="MRO","P002", E355="Office Supplies","P003", E355="Packaging","P004", E355="Raw Materials","P005")</f>
        <v>P003</v>
      </c>
    </row>
    <row r="356" spans="1:14" x14ac:dyDescent="0.2">
      <c r="A356" s="1" t="s">
        <v>370</v>
      </c>
      <c r="B356" s="2" t="s">
        <v>9</v>
      </c>
      <c r="C356" s="3">
        <v>45247</v>
      </c>
      <c r="D356" s="3">
        <v>45253</v>
      </c>
      <c r="E356" s="2" t="s">
        <v>13</v>
      </c>
      <c r="F356" s="2" t="s">
        <v>7</v>
      </c>
      <c r="G356" s="2">
        <v>1645</v>
      </c>
      <c r="H356" s="2">
        <v>85.42</v>
      </c>
      <c r="I356" s="2">
        <v>80.78</v>
      </c>
      <c r="J356" s="2">
        <v>73</v>
      </c>
      <c r="K356" s="2" t="s">
        <v>16</v>
      </c>
      <c r="L356" s="2" t="str">
        <f t="shared" si="5"/>
        <v>Delivered</v>
      </c>
      <c r="M356" t="str" cm="1">
        <f t="array" ref="M356">_xlfn.IFS(B356="Alpha_Inc","S001", B356="Delta_Logistics","S002", B356="Gamma_Co","S003", B356="Beta_Supplies","S004", B356="Epsilon_Group","S005")</f>
        <v>S003</v>
      </c>
      <c r="N356" t="str" cm="1">
        <f t="array" ref="N356">_xlfn.IFS(E356="Electronics","P001", E356="MRO","P002", E356="Office Supplies","P003", E356="Packaging","P004", E356="Raw Materials","P005")</f>
        <v>P004</v>
      </c>
    </row>
    <row r="357" spans="1:14" x14ac:dyDescent="0.2">
      <c r="A357" s="4" t="s">
        <v>371</v>
      </c>
      <c r="B357" s="5" t="s">
        <v>1</v>
      </c>
      <c r="C357" s="6">
        <v>44883</v>
      </c>
      <c r="D357" s="6">
        <v>44894</v>
      </c>
      <c r="E357" s="5" t="s">
        <v>28</v>
      </c>
      <c r="F357" s="5" t="s">
        <v>7</v>
      </c>
      <c r="G357" s="5">
        <v>930</v>
      </c>
      <c r="H357" s="5">
        <v>13.67</v>
      </c>
      <c r="I357" s="5">
        <v>11.95</v>
      </c>
      <c r="J357" s="5">
        <v>16</v>
      </c>
      <c r="K357" s="5" t="s">
        <v>4</v>
      </c>
      <c r="L357" s="5" t="str">
        <f t="shared" si="5"/>
        <v>Delivered</v>
      </c>
      <c r="M357" t="str" cm="1">
        <f t="array" ref="M357">_xlfn.IFS(B357="Alpha_Inc","S001", B357="Delta_Logistics","S002", B357="Gamma_Co","S003", B357="Beta_Supplies","S004", B357="Epsilon_Group","S005")</f>
        <v>S001</v>
      </c>
      <c r="N357" t="str" cm="1">
        <f t="array" ref="N357">_xlfn.IFS(E357="Electronics","P001", E357="MRO","P002", E357="Office Supplies","P003", E357="Packaging","P004", E357="Raw Materials","P005")</f>
        <v>P001</v>
      </c>
    </row>
    <row r="358" spans="1:14" x14ac:dyDescent="0.2">
      <c r="A358" s="1" t="s">
        <v>372</v>
      </c>
      <c r="B358" s="2" t="s">
        <v>1</v>
      </c>
      <c r="C358" s="3">
        <v>44806</v>
      </c>
      <c r="D358" s="3">
        <v>44825</v>
      </c>
      <c r="E358" s="2" t="s">
        <v>2</v>
      </c>
      <c r="F358" s="2" t="s">
        <v>7</v>
      </c>
      <c r="G358" s="2">
        <v>51</v>
      </c>
      <c r="H358" s="2">
        <v>63.74</v>
      </c>
      <c r="I358" s="2">
        <v>56.1</v>
      </c>
      <c r="J358" s="2">
        <v>0</v>
      </c>
      <c r="K358" s="2" t="s">
        <v>4</v>
      </c>
      <c r="L358" s="2" t="str">
        <f t="shared" si="5"/>
        <v>Delivered</v>
      </c>
      <c r="M358" t="str" cm="1">
        <f t="array" ref="M358">_xlfn.IFS(B358="Alpha_Inc","S001", B358="Delta_Logistics","S002", B358="Gamma_Co","S003", B358="Beta_Supplies","S004", B358="Epsilon_Group","S005")</f>
        <v>S001</v>
      </c>
      <c r="N358" t="str" cm="1">
        <f t="array" ref="N358">_xlfn.IFS(E358="Electronics","P001", E358="MRO","P002", E358="Office Supplies","P003", E358="Packaging","P004", E358="Raw Materials","P005")</f>
        <v>P003</v>
      </c>
    </row>
    <row r="359" spans="1:14" x14ac:dyDescent="0.2">
      <c r="A359" s="4" t="s">
        <v>373</v>
      </c>
      <c r="B359" s="5" t="s">
        <v>9</v>
      </c>
      <c r="C359" s="6">
        <v>44833</v>
      </c>
      <c r="D359" s="6">
        <v>44835</v>
      </c>
      <c r="E359" s="5" t="s">
        <v>13</v>
      </c>
      <c r="F359" s="5" t="s">
        <v>7</v>
      </c>
      <c r="G359" s="5">
        <v>946</v>
      </c>
      <c r="H359" s="5">
        <v>81.77</v>
      </c>
      <c r="I359" s="5">
        <v>71.650000000000006</v>
      </c>
      <c r="J359" s="5">
        <v>55</v>
      </c>
      <c r="K359" s="5" t="s">
        <v>4</v>
      </c>
      <c r="L359" s="5" t="str">
        <f t="shared" si="5"/>
        <v>Delivered</v>
      </c>
      <c r="M359" t="str" cm="1">
        <f t="array" ref="M359">_xlfn.IFS(B359="Alpha_Inc","S001", B359="Delta_Logistics","S002", B359="Gamma_Co","S003", B359="Beta_Supplies","S004", B359="Epsilon_Group","S005")</f>
        <v>S003</v>
      </c>
      <c r="N359" t="str" cm="1">
        <f t="array" ref="N359">_xlfn.IFS(E359="Electronics","P001", E359="MRO","P002", E359="Office Supplies","P003", E359="Packaging","P004", E359="Raw Materials","P005")</f>
        <v>P004</v>
      </c>
    </row>
    <row r="360" spans="1:14" x14ac:dyDescent="0.2">
      <c r="A360" s="1" t="s">
        <v>374</v>
      </c>
      <c r="B360" s="2" t="s">
        <v>18</v>
      </c>
      <c r="C360" s="3">
        <v>44967</v>
      </c>
      <c r="D360" s="3">
        <v>44987</v>
      </c>
      <c r="E360" s="2" t="s">
        <v>15</v>
      </c>
      <c r="F360" s="2" t="s">
        <v>22</v>
      </c>
      <c r="G360" s="2">
        <v>1377</v>
      </c>
      <c r="H360" s="2">
        <v>94.69</v>
      </c>
      <c r="I360" s="2">
        <v>84.2</v>
      </c>
      <c r="J360" s="2">
        <v>0</v>
      </c>
      <c r="K360" s="2" t="s">
        <v>4</v>
      </c>
      <c r="L360" s="2" t="str">
        <f t="shared" si="5"/>
        <v>Partially Delivered</v>
      </c>
      <c r="M360" t="str" cm="1">
        <f t="array" ref="M360">_xlfn.IFS(B360="Alpha_Inc","S001", B360="Delta_Logistics","S002", B360="Gamma_Co","S003", B360="Beta_Supplies","S004", B360="Epsilon_Group","S005")</f>
        <v>S005</v>
      </c>
      <c r="N360" t="str" cm="1">
        <f t="array" ref="N360">_xlfn.IFS(E360="Electronics","P001", E360="MRO","P002", E360="Office Supplies","P003", E360="Packaging","P004", E360="Raw Materials","P005")</f>
        <v>P005</v>
      </c>
    </row>
    <row r="361" spans="1:14" x14ac:dyDescent="0.2">
      <c r="A361" s="4" t="s">
        <v>375</v>
      </c>
      <c r="B361" s="5" t="s">
        <v>18</v>
      </c>
      <c r="C361" s="6">
        <v>44696</v>
      </c>
      <c r="D361" s="6">
        <v>44699</v>
      </c>
      <c r="E361" s="5" t="s">
        <v>13</v>
      </c>
      <c r="F361" s="5" t="s">
        <v>3</v>
      </c>
      <c r="G361" s="5">
        <v>303</v>
      </c>
      <c r="H361" s="5">
        <v>41.6</v>
      </c>
      <c r="I361" s="5">
        <v>40.51</v>
      </c>
      <c r="J361" s="5">
        <v>11</v>
      </c>
      <c r="K361" s="5" t="s">
        <v>4</v>
      </c>
      <c r="L361" s="5" t="str">
        <f t="shared" si="5"/>
        <v>Cancelled</v>
      </c>
      <c r="M361" t="str" cm="1">
        <f t="array" ref="M361">_xlfn.IFS(B361="Alpha_Inc","S001", B361="Delta_Logistics","S002", B361="Gamma_Co","S003", B361="Beta_Supplies","S004", B361="Epsilon_Group","S005")</f>
        <v>S005</v>
      </c>
      <c r="N361" t="str" cm="1">
        <f t="array" ref="N361">_xlfn.IFS(E361="Electronics","P001", E361="MRO","P002", E361="Office Supplies","P003", E361="Packaging","P004", E361="Raw Materials","P005")</f>
        <v>P004</v>
      </c>
    </row>
    <row r="362" spans="1:14" x14ac:dyDescent="0.2">
      <c r="A362" s="1" t="s">
        <v>376</v>
      </c>
      <c r="B362" s="2" t="s">
        <v>1</v>
      </c>
      <c r="C362" s="3">
        <v>45249</v>
      </c>
      <c r="D362" s="3">
        <v>45263</v>
      </c>
      <c r="E362" s="2" t="s">
        <v>15</v>
      </c>
      <c r="F362" s="2" t="s">
        <v>7</v>
      </c>
      <c r="G362" s="2">
        <v>1725</v>
      </c>
      <c r="H362" s="2">
        <v>93.14</v>
      </c>
      <c r="I362" s="2">
        <v>79.62</v>
      </c>
      <c r="J362" s="2">
        <v>24</v>
      </c>
      <c r="K362" s="2" t="s">
        <v>4</v>
      </c>
      <c r="L362" s="2" t="str">
        <f t="shared" si="5"/>
        <v>Delivered</v>
      </c>
      <c r="M362" t="str" cm="1">
        <f t="array" ref="M362">_xlfn.IFS(B362="Alpha_Inc","S001", B362="Delta_Logistics","S002", B362="Gamma_Co","S003", B362="Beta_Supplies","S004", B362="Epsilon_Group","S005")</f>
        <v>S001</v>
      </c>
      <c r="N362" t="str" cm="1">
        <f t="array" ref="N362">_xlfn.IFS(E362="Electronics","P001", E362="MRO","P002", E362="Office Supplies","P003", E362="Packaging","P004", E362="Raw Materials","P005")</f>
        <v>P005</v>
      </c>
    </row>
    <row r="363" spans="1:14" x14ac:dyDescent="0.2">
      <c r="A363" s="4" t="s">
        <v>377</v>
      </c>
      <c r="B363" s="5" t="s">
        <v>12</v>
      </c>
      <c r="C363" s="6">
        <v>45222</v>
      </c>
      <c r="D363" s="6">
        <v>45237</v>
      </c>
      <c r="E363" s="5" t="s">
        <v>15</v>
      </c>
      <c r="F363" s="5" t="s">
        <v>3</v>
      </c>
      <c r="G363" s="5">
        <v>502</v>
      </c>
      <c r="H363" s="5">
        <v>22.05</v>
      </c>
      <c r="I363" s="5">
        <v>20.65</v>
      </c>
      <c r="J363" s="5">
        <v>50</v>
      </c>
      <c r="K363" s="5" t="s">
        <v>16</v>
      </c>
      <c r="L363" s="5" t="str">
        <f t="shared" si="5"/>
        <v>Cancelled</v>
      </c>
      <c r="M363" t="str" cm="1">
        <f t="array" ref="M363">_xlfn.IFS(B363="Alpha_Inc","S001", B363="Delta_Logistics","S002", B363="Gamma_Co","S003", B363="Beta_Supplies","S004", B363="Epsilon_Group","S005")</f>
        <v>S004</v>
      </c>
      <c r="N363" t="str" cm="1">
        <f t="array" ref="N363">_xlfn.IFS(E363="Electronics","P001", E363="MRO","P002", E363="Office Supplies","P003", E363="Packaging","P004", E363="Raw Materials","P005")</f>
        <v>P005</v>
      </c>
    </row>
    <row r="364" spans="1:14" x14ac:dyDescent="0.2">
      <c r="A364" s="1" t="s">
        <v>378</v>
      </c>
      <c r="B364" s="2" t="s">
        <v>9</v>
      </c>
      <c r="C364" s="3">
        <v>44869</v>
      </c>
      <c r="D364" s="3">
        <v>44876</v>
      </c>
      <c r="E364" s="2" t="s">
        <v>13</v>
      </c>
      <c r="F364" s="2" t="s">
        <v>7</v>
      </c>
      <c r="G364" s="2">
        <v>1110</v>
      </c>
      <c r="H364" s="2">
        <v>90.49</v>
      </c>
      <c r="I364" s="2">
        <v>80.03</v>
      </c>
      <c r="J364" s="2">
        <v>61</v>
      </c>
      <c r="K364" s="2" t="s">
        <v>4</v>
      </c>
      <c r="L364" s="2" t="str">
        <f t="shared" si="5"/>
        <v>Delivered</v>
      </c>
      <c r="M364" t="str" cm="1">
        <f t="array" ref="M364">_xlfn.IFS(B364="Alpha_Inc","S001", B364="Delta_Logistics","S002", B364="Gamma_Co","S003", B364="Beta_Supplies","S004", B364="Epsilon_Group","S005")</f>
        <v>S003</v>
      </c>
      <c r="N364" t="str" cm="1">
        <f t="array" ref="N364">_xlfn.IFS(E364="Electronics","P001", E364="MRO","P002", E364="Office Supplies","P003", E364="Packaging","P004", E364="Raw Materials","P005")</f>
        <v>P004</v>
      </c>
    </row>
    <row r="365" spans="1:14" x14ac:dyDescent="0.2">
      <c r="A365" s="4" t="s">
        <v>379</v>
      </c>
      <c r="B365" s="5" t="s">
        <v>1</v>
      </c>
      <c r="C365" s="6">
        <v>45030</v>
      </c>
      <c r="D365" s="6">
        <v>45034</v>
      </c>
      <c r="E365" s="5" t="s">
        <v>13</v>
      </c>
      <c r="F365" s="5" t="s">
        <v>7</v>
      </c>
      <c r="G365" s="5">
        <v>1233</v>
      </c>
      <c r="H365" s="5">
        <v>23.08</v>
      </c>
      <c r="I365" s="5">
        <v>20.57</v>
      </c>
      <c r="J365" s="5">
        <v>0</v>
      </c>
      <c r="K365" s="5" t="s">
        <v>4</v>
      </c>
      <c r="L365" s="5" t="str">
        <f t="shared" si="5"/>
        <v>Delivered</v>
      </c>
      <c r="M365" t="str" cm="1">
        <f t="array" ref="M365">_xlfn.IFS(B365="Alpha_Inc","S001", B365="Delta_Logistics","S002", B365="Gamma_Co","S003", B365="Beta_Supplies","S004", B365="Epsilon_Group","S005")</f>
        <v>S001</v>
      </c>
      <c r="N365" t="str" cm="1">
        <f t="array" ref="N365">_xlfn.IFS(E365="Electronics","P001", E365="MRO","P002", E365="Office Supplies","P003", E365="Packaging","P004", E365="Raw Materials","P005")</f>
        <v>P004</v>
      </c>
    </row>
    <row r="366" spans="1:14" x14ac:dyDescent="0.2">
      <c r="A366" s="1" t="s">
        <v>380</v>
      </c>
      <c r="B366" s="2" t="s">
        <v>12</v>
      </c>
      <c r="C366" s="3">
        <v>44885</v>
      </c>
      <c r="D366" s="3">
        <v>44889</v>
      </c>
      <c r="E366" s="2" t="s">
        <v>2</v>
      </c>
      <c r="F366" s="2" t="s">
        <v>7</v>
      </c>
      <c r="G366" s="2">
        <v>1064</v>
      </c>
      <c r="H366" s="2">
        <v>48.04</v>
      </c>
      <c r="I366" s="2">
        <v>43.6</v>
      </c>
      <c r="J366" s="2">
        <v>94</v>
      </c>
      <c r="K366" s="2" t="s">
        <v>4</v>
      </c>
      <c r="L366" s="2" t="str">
        <f t="shared" si="5"/>
        <v>Delivered</v>
      </c>
      <c r="M366" t="str" cm="1">
        <f t="array" ref="M366">_xlfn.IFS(B366="Alpha_Inc","S001", B366="Delta_Logistics","S002", B366="Gamma_Co","S003", B366="Beta_Supplies","S004", B366="Epsilon_Group","S005")</f>
        <v>S004</v>
      </c>
      <c r="N366" t="str" cm="1">
        <f t="array" ref="N366">_xlfn.IFS(E366="Electronics","P001", E366="MRO","P002", E366="Office Supplies","P003", E366="Packaging","P004", E366="Raw Materials","P005")</f>
        <v>P003</v>
      </c>
    </row>
    <row r="367" spans="1:14" x14ac:dyDescent="0.2">
      <c r="A367" s="4" t="s">
        <v>381</v>
      </c>
      <c r="B367" s="5" t="s">
        <v>18</v>
      </c>
      <c r="C367" s="6">
        <v>44636</v>
      </c>
      <c r="D367" s="6">
        <v>44655</v>
      </c>
      <c r="E367" s="5" t="s">
        <v>13</v>
      </c>
      <c r="F367" s="5" t="s">
        <v>22</v>
      </c>
      <c r="G367" s="5">
        <v>58</v>
      </c>
      <c r="H367" s="5">
        <v>82.57</v>
      </c>
      <c r="I367" s="5">
        <v>76.55</v>
      </c>
      <c r="J367" s="5">
        <v>0</v>
      </c>
      <c r="K367" s="5" t="s">
        <v>4</v>
      </c>
      <c r="L367" s="5" t="str">
        <f t="shared" si="5"/>
        <v>Partially Delivered</v>
      </c>
      <c r="M367" t="str" cm="1">
        <f t="array" ref="M367">_xlfn.IFS(B367="Alpha_Inc","S001", B367="Delta_Logistics","S002", B367="Gamma_Co","S003", B367="Beta_Supplies","S004", B367="Epsilon_Group","S005")</f>
        <v>S005</v>
      </c>
      <c r="N367" t="str" cm="1">
        <f t="array" ref="N367">_xlfn.IFS(E367="Electronics","P001", E367="MRO","P002", E367="Office Supplies","P003", E367="Packaging","P004", E367="Raw Materials","P005")</f>
        <v>P004</v>
      </c>
    </row>
    <row r="368" spans="1:14" x14ac:dyDescent="0.2">
      <c r="A368" s="1" t="s">
        <v>382</v>
      </c>
      <c r="B368" s="2" t="s">
        <v>12</v>
      </c>
      <c r="C368" s="3">
        <v>44571</v>
      </c>
      <c r="D368" s="3">
        <v>44581</v>
      </c>
      <c r="E368" s="2" t="s">
        <v>10</v>
      </c>
      <c r="F368" s="2" t="s">
        <v>7</v>
      </c>
      <c r="G368" s="2">
        <v>1306</v>
      </c>
      <c r="H368" s="2">
        <v>23.49</v>
      </c>
      <c r="I368" s="2">
        <v>20.170000000000002</v>
      </c>
      <c r="J368" s="2">
        <v>116</v>
      </c>
      <c r="K368" s="2" t="s">
        <v>16</v>
      </c>
      <c r="L368" s="2" t="str">
        <f t="shared" si="5"/>
        <v>Delivered</v>
      </c>
      <c r="M368" t="str" cm="1">
        <f t="array" ref="M368">_xlfn.IFS(B368="Alpha_Inc","S001", B368="Delta_Logistics","S002", B368="Gamma_Co","S003", B368="Beta_Supplies","S004", B368="Epsilon_Group","S005")</f>
        <v>S004</v>
      </c>
      <c r="N368" t="str" cm="1">
        <f t="array" ref="N368">_xlfn.IFS(E368="Electronics","P001", E368="MRO","P002", E368="Office Supplies","P003", E368="Packaging","P004", E368="Raw Materials","P005")</f>
        <v>P002</v>
      </c>
    </row>
    <row r="369" spans="1:14" x14ac:dyDescent="0.2">
      <c r="A369" s="4" t="s">
        <v>383</v>
      </c>
      <c r="B369" s="5" t="s">
        <v>6</v>
      </c>
      <c r="C369" s="6">
        <v>45031</v>
      </c>
      <c r="D369" s="6">
        <v>45044</v>
      </c>
      <c r="E369" s="5" t="s">
        <v>28</v>
      </c>
      <c r="F369" s="5" t="s">
        <v>7</v>
      </c>
      <c r="G369" s="5">
        <v>1172</v>
      </c>
      <c r="H369" s="5">
        <v>32.93</v>
      </c>
      <c r="I369" s="5">
        <v>29.28</v>
      </c>
      <c r="J369" s="5">
        <v>0</v>
      </c>
      <c r="K369" s="5" t="s">
        <v>16</v>
      </c>
      <c r="L369" s="5" t="str">
        <f t="shared" si="5"/>
        <v>Delivered</v>
      </c>
      <c r="M369" t="str" cm="1">
        <f t="array" ref="M369">_xlfn.IFS(B369="Alpha_Inc","S001", B369="Delta_Logistics","S002", B369="Gamma_Co","S003", B369="Beta_Supplies","S004", B369="Epsilon_Group","S005")</f>
        <v>S002</v>
      </c>
      <c r="N369" t="str" cm="1">
        <f t="array" ref="N369">_xlfn.IFS(E369="Electronics","P001", E369="MRO","P002", E369="Office Supplies","P003", E369="Packaging","P004", E369="Raw Materials","P005")</f>
        <v>P001</v>
      </c>
    </row>
    <row r="370" spans="1:14" x14ac:dyDescent="0.2">
      <c r="A370" s="1" t="s">
        <v>384</v>
      </c>
      <c r="B370" s="2" t="s">
        <v>1</v>
      </c>
      <c r="C370" s="3">
        <v>45198</v>
      </c>
      <c r="D370" s="3">
        <f>Table1[[#This Row],[Order_Date]]+14</f>
        <v>45212</v>
      </c>
      <c r="E370" s="2" t="s">
        <v>13</v>
      </c>
      <c r="F370" s="2" t="s">
        <v>7</v>
      </c>
      <c r="G370" s="2">
        <v>1732</v>
      </c>
      <c r="H370" s="2">
        <v>82.5</v>
      </c>
      <c r="I370" s="2">
        <v>71.709999999999994</v>
      </c>
      <c r="J370" s="2">
        <v>24</v>
      </c>
      <c r="K370" s="2" t="s">
        <v>4</v>
      </c>
      <c r="L370" s="2" t="str">
        <f t="shared" si="5"/>
        <v>Delivered</v>
      </c>
      <c r="M370" t="str" cm="1">
        <f t="array" ref="M370">_xlfn.IFS(B370="Alpha_Inc","S001", B370="Delta_Logistics","S002", B370="Gamma_Co","S003", B370="Beta_Supplies","S004", B370="Epsilon_Group","S005")</f>
        <v>S001</v>
      </c>
      <c r="N370" t="str" cm="1">
        <f t="array" ref="N370">_xlfn.IFS(E370="Electronics","P001", E370="MRO","P002", E370="Office Supplies","P003", E370="Packaging","P004", E370="Raw Materials","P005")</f>
        <v>P004</v>
      </c>
    </row>
    <row r="371" spans="1:14" x14ac:dyDescent="0.2">
      <c r="A371" s="4" t="s">
        <v>385</v>
      </c>
      <c r="B371" s="5" t="s">
        <v>9</v>
      </c>
      <c r="C371" s="6">
        <v>45138</v>
      </c>
      <c r="D371" s="6">
        <v>45145</v>
      </c>
      <c r="E371" s="5" t="s">
        <v>15</v>
      </c>
      <c r="F371" s="5" t="s">
        <v>7</v>
      </c>
      <c r="G371" s="5">
        <v>865</v>
      </c>
      <c r="H371" s="5">
        <v>81.540000000000006</v>
      </c>
      <c r="I371" s="5">
        <v>71.59</v>
      </c>
      <c r="J371" s="5">
        <v>39</v>
      </c>
      <c r="K371" s="5" t="s">
        <v>4</v>
      </c>
      <c r="L371" s="5" t="str">
        <f t="shared" si="5"/>
        <v>Delivered</v>
      </c>
      <c r="M371" t="str" cm="1">
        <f t="array" ref="M371">_xlfn.IFS(B371="Alpha_Inc","S001", B371="Delta_Logistics","S002", B371="Gamma_Co","S003", B371="Beta_Supplies","S004", B371="Epsilon_Group","S005")</f>
        <v>S003</v>
      </c>
      <c r="N371" t="str" cm="1">
        <f t="array" ref="N371">_xlfn.IFS(E371="Electronics","P001", E371="MRO","P002", E371="Office Supplies","P003", E371="Packaging","P004", E371="Raw Materials","P005")</f>
        <v>P005</v>
      </c>
    </row>
    <row r="372" spans="1:14" x14ac:dyDescent="0.2">
      <c r="A372" s="1" t="s">
        <v>386</v>
      </c>
      <c r="B372" s="2" t="s">
        <v>12</v>
      </c>
      <c r="C372" s="3">
        <v>44664</v>
      </c>
      <c r="D372" s="3">
        <v>44671</v>
      </c>
      <c r="E372" s="2" t="s">
        <v>15</v>
      </c>
      <c r="F372" s="2" t="s">
        <v>7</v>
      </c>
      <c r="G372" s="2">
        <v>257</v>
      </c>
      <c r="H372" s="2">
        <v>68.72</v>
      </c>
      <c r="I372" s="2">
        <v>66.92</v>
      </c>
      <c r="J372" s="2">
        <v>22</v>
      </c>
      <c r="K372" s="2" t="s">
        <v>4</v>
      </c>
      <c r="L372" s="2" t="str">
        <f t="shared" si="5"/>
        <v>Delivered</v>
      </c>
      <c r="M372" t="str" cm="1">
        <f t="array" ref="M372">_xlfn.IFS(B372="Alpha_Inc","S001", B372="Delta_Logistics","S002", B372="Gamma_Co","S003", B372="Beta_Supplies","S004", B372="Epsilon_Group","S005")</f>
        <v>S004</v>
      </c>
      <c r="N372" t="str" cm="1">
        <f t="array" ref="N372">_xlfn.IFS(E372="Electronics","P001", E372="MRO","P002", E372="Office Supplies","P003", E372="Packaging","P004", E372="Raw Materials","P005")</f>
        <v>P005</v>
      </c>
    </row>
    <row r="373" spans="1:14" x14ac:dyDescent="0.2">
      <c r="A373" s="4" t="s">
        <v>387</v>
      </c>
      <c r="B373" s="5" t="s">
        <v>18</v>
      </c>
      <c r="C373" s="6">
        <v>44637</v>
      </c>
      <c r="D373" s="6">
        <v>44646</v>
      </c>
      <c r="E373" s="5" t="s">
        <v>13</v>
      </c>
      <c r="F373" s="5" t="s">
        <v>7</v>
      </c>
      <c r="G373" s="5">
        <v>1204</v>
      </c>
      <c r="H373" s="5">
        <v>73.180000000000007</v>
      </c>
      <c r="I373" s="5">
        <v>67.59</v>
      </c>
      <c r="J373" s="5">
        <v>31</v>
      </c>
      <c r="K373" s="5" t="s">
        <v>4</v>
      </c>
      <c r="L373" s="5" t="str">
        <f t="shared" si="5"/>
        <v>Delivered</v>
      </c>
      <c r="M373" t="str" cm="1">
        <f t="array" ref="M373">_xlfn.IFS(B373="Alpha_Inc","S001", B373="Delta_Logistics","S002", B373="Gamma_Co","S003", B373="Beta_Supplies","S004", B373="Epsilon_Group","S005")</f>
        <v>S005</v>
      </c>
      <c r="N373" t="str" cm="1">
        <f t="array" ref="N373">_xlfn.IFS(E373="Electronics","P001", E373="MRO","P002", E373="Office Supplies","P003", E373="Packaging","P004", E373="Raw Materials","P005")</f>
        <v>P004</v>
      </c>
    </row>
    <row r="374" spans="1:14" x14ac:dyDescent="0.2">
      <c r="A374" s="1" t="s">
        <v>388</v>
      </c>
      <c r="B374" s="2" t="s">
        <v>12</v>
      </c>
      <c r="C374" s="3">
        <v>45112</v>
      </c>
      <c r="D374" s="3">
        <v>45116</v>
      </c>
      <c r="E374" s="2" t="s">
        <v>28</v>
      </c>
      <c r="F374" s="2" t="s">
        <v>22</v>
      </c>
      <c r="G374" s="2">
        <v>453</v>
      </c>
      <c r="H374" s="2">
        <v>64.14</v>
      </c>
      <c r="I374" s="2">
        <v>60.18</v>
      </c>
      <c r="J374" s="2">
        <v>51</v>
      </c>
      <c r="K374" s="2" t="s">
        <v>4</v>
      </c>
      <c r="L374" s="2" t="str">
        <f t="shared" si="5"/>
        <v>Partially Delivered</v>
      </c>
      <c r="M374" t="str" cm="1">
        <f t="array" ref="M374">_xlfn.IFS(B374="Alpha_Inc","S001", B374="Delta_Logistics","S002", B374="Gamma_Co","S003", B374="Beta_Supplies","S004", B374="Epsilon_Group","S005")</f>
        <v>S004</v>
      </c>
      <c r="N374" t="str" cm="1">
        <f t="array" ref="N374">_xlfn.IFS(E374="Electronics","P001", E374="MRO","P002", E374="Office Supplies","P003", E374="Packaging","P004", E374="Raw Materials","P005")</f>
        <v>P001</v>
      </c>
    </row>
    <row r="375" spans="1:14" x14ac:dyDescent="0.2">
      <c r="A375" s="4" t="s">
        <v>389</v>
      </c>
      <c r="B375" s="5" t="s">
        <v>18</v>
      </c>
      <c r="C375" s="6">
        <v>44780</v>
      </c>
      <c r="D375" s="6">
        <v>44794</v>
      </c>
      <c r="E375" s="5" t="s">
        <v>28</v>
      </c>
      <c r="F375" s="5" t="s">
        <v>7</v>
      </c>
      <c r="G375" s="5">
        <v>201</v>
      </c>
      <c r="H375" s="5">
        <v>33.81</v>
      </c>
      <c r="I375" s="5">
        <v>32.54</v>
      </c>
      <c r="J375" s="5">
        <v>3</v>
      </c>
      <c r="K375" s="5" t="s">
        <v>4</v>
      </c>
      <c r="L375" s="5" t="str">
        <f t="shared" si="5"/>
        <v>Delivered</v>
      </c>
      <c r="M375" t="str" cm="1">
        <f t="array" ref="M375">_xlfn.IFS(B375="Alpha_Inc","S001", B375="Delta_Logistics","S002", B375="Gamma_Co","S003", B375="Beta_Supplies","S004", B375="Epsilon_Group","S005")</f>
        <v>S005</v>
      </c>
      <c r="N375" t="str" cm="1">
        <f t="array" ref="N375">_xlfn.IFS(E375="Electronics","P001", E375="MRO","P002", E375="Office Supplies","P003", E375="Packaging","P004", E375="Raw Materials","P005")</f>
        <v>P001</v>
      </c>
    </row>
    <row r="376" spans="1:14" x14ac:dyDescent="0.2">
      <c r="A376" s="1" t="s">
        <v>390</v>
      </c>
      <c r="B376" s="2" t="s">
        <v>6</v>
      </c>
      <c r="C376" s="3">
        <v>45080</v>
      </c>
      <c r="D376" s="3">
        <v>45093</v>
      </c>
      <c r="E376" s="2" t="s">
        <v>2</v>
      </c>
      <c r="F376" s="2" t="s">
        <v>7</v>
      </c>
      <c r="G376" s="2">
        <v>103</v>
      </c>
      <c r="H376" s="2">
        <v>44.61</v>
      </c>
      <c r="I376" s="2">
        <v>42.88</v>
      </c>
      <c r="J376" s="2">
        <v>10</v>
      </c>
      <c r="K376" s="2" t="s">
        <v>4</v>
      </c>
      <c r="L376" s="2" t="str">
        <f t="shared" si="5"/>
        <v>Delivered</v>
      </c>
      <c r="M376" t="str" cm="1">
        <f t="array" ref="M376">_xlfn.IFS(B376="Alpha_Inc","S001", B376="Delta_Logistics","S002", B376="Gamma_Co","S003", B376="Beta_Supplies","S004", B376="Epsilon_Group","S005")</f>
        <v>S002</v>
      </c>
      <c r="N376" t="str" cm="1">
        <f t="array" ref="N376">_xlfn.IFS(E376="Electronics","P001", E376="MRO","P002", E376="Office Supplies","P003", E376="Packaging","P004", E376="Raw Materials","P005")</f>
        <v>P003</v>
      </c>
    </row>
    <row r="377" spans="1:14" x14ac:dyDescent="0.2">
      <c r="A377" s="4" t="s">
        <v>391</v>
      </c>
      <c r="B377" s="5" t="s">
        <v>18</v>
      </c>
      <c r="C377" s="6">
        <v>44833</v>
      </c>
      <c r="D377" s="6">
        <v>44841</v>
      </c>
      <c r="E377" s="5" t="s">
        <v>2</v>
      </c>
      <c r="F377" s="5" t="s">
        <v>7</v>
      </c>
      <c r="G377" s="5">
        <v>1193</v>
      </c>
      <c r="H377" s="5">
        <v>27.4</v>
      </c>
      <c r="I377" s="5">
        <v>27.09</v>
      </c>
      <c r="J377" s="5">
        <v>0</v>
      </c>
      <c r="K377" s="5" t="s">
        <v>4</v>
      </c>
      <c r="L377" s="5" t="str">
        <f t="shared" si="5"/>
        <v>Delivered</v>
      </c>
      <c r="M377" t="str" cm="1">
        <f t="array" ref="M377">_xlfn.IFS(B377="Alpha_Inc","S001", B377="Delta_Logistics","S002", B377="Gamma_Co","S003", B377="Beta_Supplies","S004", B377="Epsilon_Group","S005")</f>
        <v>S005</v>
      </c>
      <c r="N377" t="str" cm="1">
        <f t="array" ref="N377">_xlfn.IFS(E377="Electronics","P001", E377="MRO","P002", E377="Office Supplies","P003", E377="Packaging","P004", E377="Raw Materials","P005")</f>
        <v>P003</v>
      </c>
    </row>
    <row r="378" spans="1:14" x14ac:dyDescent="0.2">
      <c r="A378" s="1" t="s">
        <v>392</v>
      </c>
      <c r="B378" s="2" t="s">
        <v>9</v>
      </c>
      <c r="C378" s="3">
        <v>44697</v>
      </c>
      <c r="D378" s="3">
        <v>44709</v>
      </c>
      <c r="E378" s="2" t="s">
        <v>2</v>
      </c>
      <c r="F378" s="2" t="s">
        <v>22</v>
      </c>
      <c r="G378" s="2">
        <v>1746</v>
      </c>
      <c r="H378" s="2">
        <v>93.6</v>
      </c>
      <c r="I378" s="2">
        <v>89.81</v>
      </c>
      <c r="J378" s="2">
        <v>85</v>
      </c>
      <c r="K378" s="2" t="s">
        <v>4</v>
      </c>
      <c r="L378" s="2" t="str">
        <f t="shared" si="5"/>
        <v>Partially Delivered</v>
      </c>
      <c r="M378" t="str" cm="1">
        <f t="array" ref="M378">_xlfn.IFS(B378="Alpha_Inc","S001", B378="Delta_Logistics","S002", B378="Gamma_Co","S003", B378="Beta_Supplies","S004", B378="Epsilon_Group","S005")</f>
        <v>S003</v>
      </c>
      <c r="N378" t="str" cm="1">
        <f t="array" ref="N378">_xlfn.IFS(E378="Electronics","P001", E378="MRO","P002", E378="Office Supplies","P003", E378="Packaging","P004", E378="Raw Materials","P005")</f>
        <v>P003</v>
      </c>
    </row>
    <row r="379" spans="1:14" x14ac:dyDescent="0.2">
      <c r="A379" s="4" t="s">
        <v>393</v>
      </c>
      <c r="B379" s="5" t="s">
        <v>6</v>
      </c>
      <c r="C379" s="6">
        <v>44919</v>
      </c>
      <c r="D379" s="6">
        <v>44921</v>
      </c>
      <c r="E379" s="5" t="s">
        <v>28</v>
      </c>
      <c r="F379" s="5" t="s">
        <v>7</v>
      </c>
      <c r="G379" s="5">
        <v>1993</v>
      </c>
      <c r="H379" s="5">
        <v>65.94</v>
      </c>
      <c r="I379" s="5">
        <v>59.36</v>
      </c>
      <c r="J379" s="5">
        <v>0</v>
      </c>
      <c r="K379" s="5" t="s">
        <v>4</v>
      </c>
      <c r="L379" s="5" t="str">
        <f t="shared" si="5"/>
        <v>Delivered</v>
      </c>
      <c r="M379" t="str" cm="1">
        <f t="array" ref="M379">_xlfn.IFS(B379="Alpha_Inc","S001", B379="Delta_Logistics","S002", B379="Gamma_Co","S003", B379="Beta_Supplies","S004", B379="Epsilon_Group","S005")</f>
        <v>S002</v>
      </c>
      <c r="N379" t="str" cm="1">
        <f t="array" ref="N379">_xlfn.IFS(E379="Electronics","P001", E379="MRO","P002", E379="Office Supplies","P003", E379="Packaging","P004", E379="Raw Materials","P005")</f>
        <v>P001</v>
      </c>
    </row>
    <row r="380" spans="1:14" x14ac:dyDescent="0.2">
      <c r="A380" s="1" t="s">
        <v>394</v>
      </c>
      <c r="B380" s="2" t="s">
        <v>12</v>
      </c>
      <c r="C380" s="3">
        <v>44632</v>
      </c>
      <c r="D380" s="3">
        <v>44647</v>
      </c>
      <c r="E380" s="2" t="s">
        <v>15</v>
      </c>
      <c r="F380" s="2" t="s">
        <v>7</v>
      </c>
      <c r="G380" s="2">
        <v>677</v>
      </c>
      <c r="H380" s="2">
        <v>46.54</v>
      </c>
      <c r="I380" s="2">
        <v>43.11</v>
      </c>
      <c r="J380" s="2">
        <v>0</v>
      </c>
      <c r="K380" s="2" t="s">
        <v>16</v>
      </c>
      <c r="L380" s="2" t="str">
        <f t="shared" si="5"/>
        <v>Delivered</v>
      </c>
      <c r="M380" t="str" cm="1">
        <f t="array" ref="M380">_xlfn.IFS(B380="Alpha_Inc","S001", B380="Delta_Logistics","S002", B380="Gamma_Co","S003", B380="Beta_Supplies","S004", B380="Epsilon_Group","S005")</f>
        <v>S004</v>
      </c>
      <c r="N380" t="str" cm="1">
        <f t="array" ref="N380">_xlfn.IFS(E380="Electronics","P001", E380="MRO","P002", E380="Office Supplies","P003", E380="Packaging","P004", E380="Raw Materials","P005")</f>
        <v>P005</v>
      </c>
    </row>
    <row r="381" spans="1:14" x14ac:dyDescent="0.2">
      <c r="A381" s="4" t="s">
        <v>395</v>
      </c>
      <c r="B381" s="5" t="s">
        <v>1</v>
      </c>
      <c r="C381" s="6">
        <v>44812</v>
      </c>
      <c r="D381" s="6">
        <f>Table1[[#This Row],[Order_Date]]+14</f>
        <v>44826</v>
      </c>
      <c r="E381" s="5" t="s">
        <v>2</v>
      </c>
      <c r="F381" s="5" t="s">
        <v>24</v>
      </c>
      <c r="G381" s="5">
        <v>636</v>
      </c>
      <c r="H381" s="5">
        <v>53.64</v>
      </c>
      <c r="I381" s="5">
        <v>49.23</v>
      </c>
      <c r="J381" s="5">
        <v>18</v>
      </c>
      <c r="K381" s="5" t="s">
        <v>4</v>
      </c>
      <c r="L381" s="5" t="str">
        <f t="shared" si="5"/>
        <v>Pending</v>
      </c>
      <c r="M381" t="str" cm="1">
        <f t="array" ref="M381">_xlfn.IFS(B381="Alpha_Inc","S001", B381="Delta_Logistics","S002", B381="Gamma_Co","S003", B381="Beta_Supplies","S004", B381="Epsilon_Group","S005")</f>
        <v>S001</v>
      </c>
      <c r="N381" t="str" cm="1">
        <f t="array" ref="N381">_xlfn.IFS(E381="Electronics","P001", E381="MRO","P002", E381="Office Supplies","P003", E381="Packaging","P004", E381="Raw Materials","P005")</f>
        <v>P003</v>
      </c>
    </row>
    <row r="382" spans="1:14" x14ac:dyDescent="0.2">
      <c r="A382" s="1" t="s">
        <v>396</v>
      </c>
      <c r="B382" s="2" t="s">
        <v>18</v>
      </c>
      <c r="C382" s="3">
        <v>44940</v>
      </c>
      <c r="D382" s="3">
        <v>44959</v>
      </c>
      <c r="E382" s="2" t="s">
        <v>13</v>
      </c>
      <c r="F382" s="2" t="s">
        <v>7</v>
      </c>
      <c r="G382" s="2">
        <v>1698</v>
      </c>
      <c r="H382" s="2">
        <v>100.97</v>
      </c>
      <c r="I382" s="2">
        <v>98.73</v>
      </c>
      <c r="J382" s="2">
        <v>52</v>
      </c>
      <c r="K382" s="2" t="s">
        <v>4</v>
      </c>
      <c r="L382" s="2" t="str">
        <f t="shared" si="5"/>
        <v>Delivered</v>
      </c>
      <c r="M382" t="str" cm="1">
        <f t="array" ref="M382">_xlfn.IFS(B382="Alpha_Inc","S001", B382="Delta_Logistics","S002", B382="Gamma_Co","S003", B382="Beta_Supplies","S004", B382="Epsilon_Group","S005")</f>
        <v>S005</v>
      </c>
      <c r="N382" t="str" cm="1">
        <f t="array" ref="N382">_xlfn.IFS(E382="Electronics","P001", E382="MRO","P002", E382="Office Supplies","P003", E382="Packaging","P004", E382="Raw Materials","P005")</f>
        <v>P004</v>
      </c>
    </row>
    <row r="383" spans="1:14" x14ac:dyDescent="0.2">
      <c r="A383" s="4" t="s">
        <v>397</v>
      </c>
      <c r="B383" s="5" t="s">
        <v>9</v>
      </c>
      <c r="C383" s="6">
        <v>44853</v>
      </c>
      <c r="D383" s="6">
        <v>44866</v>
      </c>
      <c r="E383" s="5" t="s">
        <v>2</v>
      </c>
      <c r="F383" s="5" t="s">
        <v>7</v>
      </c>
      <c r="G383" s="5">
        <v>1493</v>
      </c>
      <c r="H383" s="5">
        <v>24.87</v>
      </c>
      <c r="I383" s="5">
        <v>22.89</v>
      </c>
      <c r="J383" s="5">
        <v>56</v>
      </c>
      <c r="K383" s="5" t="s">
        <v>4</v>
      </c>
      <c r="L383" s="5" t="str">
        <f t="shared" si="5"/>
        <v>Delivered</v>
      </c>
      <c r="M383" t="str" cm="1">
        <f t="array" ref="M383">_xlfn.IFS(B383="Alpha_Inc","S001", B383="Delta_Logistics","S002", B383="Gamma_Co","S003", B383="Beta_Supplies","S004", B383="Epsilon_Group","S005")</f>
        <v>S003</v>
      </c>
      <c r="N383" t="str" cm="1">
        <f t="array" ref="N383">_xlfn.IFS(E383="Electronics","P001", E383="MRO","P002", E383="Office Supplies","P003", E383="Packaging","P004", E383="Raw Materials","P005")</f>
        <v>P003</v>
      </c>
    </row>
    <row r="384" spans="1:14" x14ac:dyDescent="0.2">
      <c r="A384" s="1" t="s">
        <v>398</v>
      </c>
      <c r="B384" s="2" t="s">
        <v>1</v>
      </c>
      <c r="C384" s="3">
        <v>44723</v>
      </c>
      <c r="D384" s="3">
        <v>44737</v>
      </c>
      <c r="E384" s="2" t="s">
        <v>13</v>
      </c>
      <c r="F384" s="2" t="s">
        <v>7</v>
      </c>
      <c r="G384" s="2">
        <v>1495</v>
      </c>
      <c r="H384" s="2">
        <v>64.33</v>
      </c>
      <c r="I384" s="2">
        <v>58.18</v>
      </c>
      <c r="J384" s="2">
        <v>26</v>
      </c>
      <c r="K384" s="2" t="s">
        <v>4</v>
      </c>
      <c r="L384" s="2" t="str">
        <f t="shared" si="5"/>
        <v>Delivered</v>
      </c>
      <c r="M384" t="str" cm="1">
        <f t="array" ref="M384">_xlfn.IFS(B384="Alpha_Inc","S001", B384="Delta_Logistics","S002", B384="Gamma_Co","S003", B384="Beta_Supplies","S004", B384="Epsilon_Group","S005")</f>
        <v>S001</v>
      </c>
      <c r="N384" t="str" cm="1">
        <f t="array" ref="N384">_xlfn.IFS(E384="Electronics","P001", E384="MRO","P002", E384="Office Supplies","P003", E384="Packaging","P004", E384="Raw Materials","P005")</f>
        <v>P004</v>
      </c>
    </row>
    <row r="385" spans="1:14" x14ac:dyDescent="0.2">
      <c r="A385" s="4" t="s">
        <v>399</v>
      </c>
      <c r="B385" s="5" t="s">
        <v>1</v>
      </c>
      <c r="C385" s="6">
        <v>45010</v>
      </c>
      <c r="D385" s="6">
        <v>45023</v>
      </c>
      <c r="E385" s="5" t="s">
        <v>13</v>
      </c>
      <c r="F385" s="5" t="s">
        <v>3</v>
      </c>
      <c r="G385" s="5">
        <v>153</v>
      </c>
      <c r="H385" s="5">
        <v>59.42</v>
      </c>
      <c r="I385" s="5">
        <v>52</v>
      </c>
      <c r="J385" s="5">
        <v>3</v>
      </c>
      <c r="K385" s="5" t="s">
        <v>4</v>
      </c>
      <c r="L385" s="5" t="str">
        <f t="shared" si="5"/>
        <v>Cancelled</v>
      </c>
      <c r="M385" t="str" cm="1">
        <f t="array" ref="M385">_xlfn.IFS(B385="Alpha_Inc","S001", B385="Delta_Logistics","S002", B385="Gamma_Co","S003", B385="Beta_Supplies","S004", B385="Epsilon_Group","S005")</f>
        <v>S001</v>
      </c>
      <c r="N385" t="str" cm="1">
        <f t="array" ref="N385">_xlfn.IFS(E385="Electronics","P001", E385="MRO","P002", E385="Office Supplies","P003", E385="Packaging","P004", E385="Raw Materials","P005")</f>
        <v>P004</v>
      </c>
    </row>
    <row r="386" spans="1:14" x14ac:dyDescent="0.2">
      <c r="A386" s="1" t="s">
        <v>400</v>
      </c>
      <c r="B386" s="2" t="s">
        <v>6</v>
      </c>
      <c r="C386" s="3">
        <v>45118</v>
      </c>
      <c r="D386" s="3">
        <v>45129</v>
      </c>
      <c r="E386" s="2" t="s">
        <v>15</v>
      </c>
      <c r="F386" s="2" t="s">
        <v>3</v>
      </c>
      <c r="G386" s="2">
        <v>1925</v>
      </c>
      <c r="H386" s="2">
        <v>70.88</v>
      </c>
      <c r="I386" s="2">
        <v>63.41</v>
      </c>
      <c r="J386" s="2">
        <v>292</v>
      </c>
      <c r="K386" s="2" t="s">
        <v>4</v>
      </c>
      <c r="L386" s="2" t="str">
        <f t="shared" ref="L386:L449" si="6">IF(F386="Delivered", IF(E386="","Date Missing","Delivered"), F386)</f>
        <v>Cancelled</v>
      </c>
      <c r="M386" t="str" cm="1">
        <f t="array" ref="M386">_xlfn.IFS(B386="Alpha_Inc","S001", B386="Delta_Logistics","S002", B386="Gamma_Co","S003", B386="Beta_Supplies","S004", B386="Epsilon_Group","S005")</f>
        <v>S002</v>
      </c>
      <c r="N386" t="str" cm="1">
        <f t="array" ref="N386">_xlfn.IFS(E386="Electronics","P001", E386="MRO","P002", E386="Office Supplies","P003", E386="Packaging","P004", E386="Raw Materials","P005")</f>
        <v>P005</v>
      </c>
    </row>
    <row r="387" spans="1:14" x14ac:dyDescent="0.2">
      <c r="A387" s="4" t="s">
        <v>401</v>
      </c>
      <c r="B387" s="5" t="s">
        <v>12</v>
      </c>
      <c r="C387" s="6">
        <v>45282</v>
      </c>
      <c r="D387" s="6">
        <v>45302</v>
      </c>
      <c r="E387" s="5" t="s">
        <v>13</v>
      </c>
      <c r="F387" s="5" t="s">
        <v>7</v>
      </c>
      <c r="G387" s="5">
        <v>303</v>
      </c>
      <c r="H387" s="5">
        <v>12.97</v>
      </c>
      <c r="I387" s="5">
        <v>11.42</v>
      </c>
      <c r="J387" s="5">
        <v>0</v>
      </c>
      <c r="K387" s="5" t="s">
        <v>16</v>
      </c>
      <c r="L387" s="5" t="str">
        <f t="shared" si="6"/>
        <v>Delivered</v>
      </c>
      <c r="M387" t="str" cm="1">
        <f t="array" ref="M387">_xlfn.IFS(B387="Alpha_Inc","S001", B387="Delta_Logistics","S002", B387="Gamma_Co","S003", B387="Beta_Supplies","S004", B387="Epsilon_Group","S005")</f>
        <v>S004</v>
      </c>
      <c r="N387" t="str" cm="1">
        <f t="array" ref="N387">_xlfn.IFS(E387="Electronics","P001", E387="MRO","P002", E387="Office Supplies","P003", E387="Packaging","P004", E387="Raw Materials","P005")</f>
        <v>P004</v>
      </c>
    </row>
    <row r="388" spans="1:14" x14ac:dyDescent="0.2">
      <c r="A388" s="1" t="s">
        <v>402</v>
      </c>
      <c r="B388" s="2" t="s">
        <v>1</v>
      </c>
      <c r="C388" s="3">
        <v>44871</v>
      </c>
      <c r="D388" s="3">
        <v>44883</v>
      </c>
      <c r="E388" s="2" t="s">
        <v>2</v>
      </c>
      <c r="F388" s="2" t="s">
        <v>7</v>
      </c>
      <c r="G388" s="2">
        <v>1300</v>
      </c>
      <c r="H388" s="2">
        <v>92.92</v>
      </c>
      <c r="I388" s="2">
        <v>90.63</v>
      </c>
      <c r="J388" s="2">
        <v>0</v>
      </c>
      <c r="K388" s="2" t="s">
        <v>4</v>
      </c>
      <c r="L388" s="2" t="str">
        <f t="shared" si="6"/>
        <v>Delivered</v>
      </c>
      <c r="M388" t="str" cm="1">
        <f t="array" ref="M388">_xlfn.IFS(B388="Alpha_Inc","S001", B388="Delta_Logistics","S002", B388="Gamma_Co","S003", B388="Beta_Supplies","S004", B388="Epsilon_Group","S005")</f>
        <v>S001</v>
      </c>
      <c r="N388" t="str" cm="1">
        <f t="array" ref="N388">_xlfn.IFS(E388="Electronics","P001", E388="MRO","P002", E388="Office Supplies","P003", E388="Packaging","P004", E388="Raw Materials","P005")</f>
        <v>P003</v>
      </c>
    </row>
    <row r="389" spans="1:14" x14ac:dyDescent="0.2">
      <c r="A389" s="4" t="s">
        <v>403</v>
      </c>
      <c r="B389" s="5" t="s">
        <v>9</v>
      </c>
      <c r="C389" s="6">
        <v>45188</v>
      </c>
      <c r="D389" s="6">
        <v>45192</v>
      </c>
      <c r="E389" s="5" t="s">
        <v>15</v>
      </c>
      <c r="F389" s="5" t="s">
        <v>7</v>
      </c>
      <c r="G389" s="5">
        <v>1185</v>
      </c>
      <c r="H389" s="5">
        <v>103.28</v>
      </c>
      <c r="I389" s="5">
        <v>99.05</v>
      </c>
      <c r="J389" s="5">
        <v>0</v>
      </c>
      <c r="K389" s="5" t="s">
        <v>4</v>
      </c>
      <c r="L389" s="5" t="str">
        <f t="shared" si="6"/>
        <v>Delivered</v>
      </c>
      <c r="M389" t="str" cm="1">
        <f t="array" ref="M389">_xlfn.IFS(B389="Alpha_Inc","S001", B389="Delta_Logistics","S002", B389="Gamma_Co","S003", B389="Beta_Supplies","S004", B389="Epsilon_Group","S005")</f>
        <v>S003</v>
      </c>
      <c r="N389" t="str" cm="1">
        <f t="array" ref="N389">_xlfn.IFS(E389="Electronics","P001", E389="MRO","P002", E389="Office Supplies","P003", E389="Packaging","P004", E389="Raw Materials","P005")</f>
        <v>P005</v>
      </c>
    </row>
    <row r="390" spans="1:14" x14ac:dyDescent="0.2">
      <c r="A390" s="1" t="s">
        <v>404</v>
      </c>
      <c r="B390" s="2" t="s">
        <v>18</v>
      </c>
      <c r="C390" s="3">
        <v>45231</v>
      </c>
      <c r="D390" s="3">
        <v>45250</v>
      </c>
      <c r="E390" s="2" t="s">
        <v>15</v>
      </c>
      <c r="F390" s="2" t="s">
        <v>7</v>
      </c>
      <c r="G390" s="2">
        <v>559</v>
      </c>
      <c r="H390" s="2">
        <v>67.56</v>
      </c>
      <c r="I390" s="2">
        <v>57.98</v>
      </c>
      <c r="J390" s="2">
        <v>15</v>
      </c>
      <c r="K390" s="2" t="s">
        <v>4</v>
      </c>
      <c r="L390" s="2" t="str">
        <f t="shared" si="6"/>
        <v>Delivered</v>
      </c>
      <c r="M390" t="str" cm="1">
        <f t="array" ref="M390">_xlfn.IFS(B390="Alpha_Inc","S001", B390="Delta_Logistics","S002", B390="Gamma_Co","S003", B390="Beta_Supplies","S004", B390="Epsilon_Group","S005")</f>
        <v>S005</v>
      </c>
      <c r="N390" t="str" cm="1">
        <f t="array" ref="N390">_xlfn.IFS(E390="Electronics","P001", E390="MRO","P002", E390="Office Supplies","P003", E390="Packaging","P004", E390="Raw Materials","P005")</f>
        <v>P005</v>
      </c>
    </row>
    <row r="391" spans="1:14" x14ac:dyDescent="0.2">
      <c r="A391" s="4" t="s">
        <v>405</v>
      </c>
      <c r="B391" s="5" t="s">
        <v>18</v>
      </c>
      <c r="C391" s="6">
        <v>45103</v>
      </c>
      <c r="D391" s="6">
        <v>45106</v>
      </c>
      <c r="E391" s="5" t="s">
        <v>28</v>
      </c>
      <c r="F391" s="5" t="s">
        <v>24</v>
      </c>
      <c r="G391" s="5">
        <v>1546</v>
      </c>
      <c r="H391" s="5">
        <v>78.88</v>
      </c>
      <c r="I391" s="5">
        <v>78</v>
      </c>
      <c r="J391" s="5">
        <v>38</v>
      </c>
      <c r="K391" s="5" t="s">
        <v>4</v>
      </c>
      <c r="L391" s="5" t="str">
        <f t="shared" si="6"/>
        <v>Pending</v>
      </c>
      <c r="M391" t="str" cm="1">
        <f t="array" ref="M391">_xlfn.IFS(B391="Alpha_Inc","S001", B391="Delta_Logistics","S002", B391="Gamma_Co","S003", B391="Beta_Supplies","S004", B391="Epsilon_Group","S005")</f>
        <v>S005</v>
      </c>
      <c r="N391" t="str" cm="1">
        <f t="array" ref="N391">_xlfn.IFS(E391="Electronics","P001", E391="MRO","P002", E391="Office Supplies","P003", E391="Packaging","P004", E391="Raw Materials","P005")</f>
        <v>P001</v>
      </c>
    </row>
    <row r="392" spans="1:14" x14ac:dyDescent="0.2">
      <c r="A392" s="1" t="s">
        <v>406</v>
      </c>
      <c r="B392" s="2" t="s">
        <v>18</v>
      </c>
      <c r="C392" s="3">
        <v>44570</v>
      </c>
      <c r="D392" s="3">
        <v>44580</v>
      </c>
      <c r="E392" s="2" t="s">
        <v>13</v>
      </c>
      <c r="F392" s="2" t="s">
        <v>7</v>
      </c>
      <c r="G392" s="2">
        <v>148</v>
      </c>
      <c r="H392" s="2">
        <v>93.02</v>
      </c>
      <c r="I392" s="2">
        <v>85.96</v>
      </c>
      <c r="J392" s="2">
        <v>4</v>
      </c>
      <c r="K392" s="2" t="s">
        <v>4</v>
      </c>
      <c r="L392" s="2" t="str">
        <f t="shared" si="6"/>
        <v>Delivered</v>
      </c>
      <c r="M392" t="str" cm="1">
        <f t="array" ref="M392">_xlfn.IFS(B392="Alpha_Inc","S001", B392="Delta_Logistics","S002", B392="Gamma_Co","S003", B392="Beta_Supplies","S004", B392="Epsilon_Group","S005")</f>
        <v>S005</v>
      </c>
      <c r="N392" t="str" cm="1">
        <f t="array" ref="N392">_xlfn.IFS(E392="Electronics","P001", E392="MRO","P002", E392="Office Supplies","P003", E392="Packaging","P004", E392="Raw Materials","P005")</f>
        <v>P004</v>
      </c>
    </row>
    <row r="393" spans="1:14" x14ac:dyDescent="0.2">
      <c r="A393" s="4" t="s">
        <v>407</v>
      </c>
      <c r="B393" s="5" t="s">
        <v>6</v>
      </c>
      <c r="C393" s="6">
        <v>45245</v>
      </c>
      <c r="D393" s="6">
        <v>45253</v>
      </c>
      <c r="E393" s="5" t="s">
        <v>2</v>
      </c>
      <c r="F393" s="5" t="s">
        <v>7</v>
      </c>
      <c r="G393" s="5">
        <v>202</v>
      </c>
      <c r="H393" s="5">
        <v>81.75</v>
      </c>
      <c r="I393" s="5">
        <v>78.260000000000005</v>
      </c>
      <c r="J393" s="5">
        <v>37</v>
      </c>
      <c r="K393" s="5" t="s">
        <v>16</v>
      </c>
      <c r="L393" s="5" t="str">
        <f t="shared" si="6"/>
        <v>Delivered</v>
      </c>
      <c r="M393" t="str" cm="1">
        <f t="array" ref="M393">_xlfn.IFS(B393="Alpha_Inc","S001", B393="Delta_Logistics","S002", B393="Gamma_Co","S003", B393="Beta_Supplies","S004", B393="Epsilon_Group","S005")</f>
        <v>S002</v>
      </c>
      <c r="N393" t="str" cm="1">
        <f t="array" ref="N393">_xlfn.IFS(E393="Electronics","P001", E393="MRO","P002", E393="Office Supplies","P003", E393="Packaging","P004", E393="Raw Materials","P005")</f>
        <v>P003</v>
      </c>
    </row>
    <row r="394" spans="1:14" x14ac:dyDescent="0.2">
      <c r="A394" s="1" t="s">
        <v>408</v>
      </c>
      <c r="B394" s="2" t="s">
        <v>9</v>
      </c>
      <c r="C394" s="3">
        <v>45129</v>
      </c>
      <c r="D394" s="3">
        <v>45135</v>
      </c>
      <c r="E394" s="2" t="s">
        <v>13</v>
      </c>
      <c r="F394" s="2" t="s">
        <v>7</v>
      </c>
      <c r="G394" s="2">
        <v>1934</v>
      </c>
      <c r="H394" s="2">
        <v>25.86</v>
      </c>
      <c r="I394" s="2">
        <v>25.6</v>
      </c>
      <c r="J394" s="2">
        <v>78</v>
      </c>
      <c r="K394" s="2" t="s">
        <v>4</v>
      </c>
      <c r="L394" s="2" t="str">
        <f t="shared" si="6"/>
        <v>Delivered</v>
      </c>
      <c r="M394" t="str" cm="1">
        <f t="array" ref="M394">_xlfn.IFS(B394="Alpha_Inc","S001", B394="Delta_Logistics","S002", B394="Gamma_Co","S003", B394="Beta_Supplies","S004", B394="Epsilon_Group","S005")</f>
        <v>S003</v>
      </c>
      <c r="N394" t="str" cm="1">
        <f t="array" ref="N394">_xlfn.IFS(E394="Electronics","P001", E394="MRO","P002", E394="Office Supplies","P003", E394="Packaging","P004", E394="Raw Materials","P005")</f>
        <v>P004</v>
      </c>
    </row>
    <row r="395" spans="1:14" x14ac:dyDescent="0.2">
      <c r="A395" s="4" t="s">
        <v>409</v>
      </c>
      <c r="B395" s="5" t="s">
        <v>1</v>
      </c>
      <c r="C395" s="6">
        <v>44868</v>
      </c>
      <c r="D395" s="6">
        <v>44872</v>
      </c>
      <c r="E395" s="5" t="s">
        <v>2</v>
      </c>
      <c r="F395" s="5" t="s">
        <v>7</v>
      </c>
      <c r="G395" s="5">
        <v>963</v>
      </c>
      <c r="H395" s="5">
        <v>64.959999999999994</v>
      </c>
      <c r="I395" s="5">
        <v>64.069999999999993</v>
      </c>
      <c r="J395" s="5">
        <v>20</v>
      </c>
      <c r="K395" s="5" t="s">
        <v>4</v>
      </c>
      <c r="L395" s="5" t="str">
        <f t="shared" si="6"/>
        <v>Delivered</v>
      </c>
      <c r="M395" t="str" cm="1">
        <f t="array" ref="M395">_xlfn.IFS(B395="Alpha_Inc","S001", B395="Delta_Logistics","S002", B395="Gamma_Co","S003", B395="Beta_Supplies","S004", B395="Epsilon_Group","S005")</f>
        <v>S001</v>
      </c>
      <c r="N395" t="str" cm="1">
        <f t="array" ref="N395">_xlfn.IFS(E395="Electronics","P001", E395="MRO","P002", E395="Office Supplies","P003", E395="Packaging","P004", E395="Raw Materials","P005")</f>
        <v>P003</v>
      </c>
    </row>
    <row r="396" spans="1:14" x14ac:dyDescent="0.2">
      <c r="A396" s="1" t="s">
        <v>410</v>
      </c>
      <c r="B396" s="2" t="s">
        <v>9</v>
      </c>
      <c r="C396" s="3">
        <v>45241</v>
      </c>
      <c r="D396" s="3">
        <v>45248</v>
      </c>
      <c r="E396" s="2" t="s">
        <v>10</v>
      </c>
      <c r="F396" s="2" t="s">
        <v>7</v>
      </c>
      <c r="G396" s="2">
        <v>1969</v>
      </c>
      <c r="H396" s="2">
        <v>71.709999999999994</v>
      </c>
      <c r="I396" s="2">
        <v>61.96</v>
      </c>
      <c r="J396" s="2">
        <v>0</v>
      </c>
      <c r="K396" s="2" t="s">
        <v>4</v>
      </c>
      <c r="L396" s="2" t="str">
        <f t="shared" si="6"/>
        <v>Delivered</v>
      </c>
      <c r="M396" t="str" cm="1">
        <f t="array" ref="M396">_xlfn.IFS(B396="Alpha_Inc","S001", B396="Delta_Logistics","S002", B396="Gamma_Co","S003", B396="Beta_Supplies","S004", B396="Epsilon_Group","S005")</f>
        <v>S003</v>
      </c>
      <c r="N396" t="str" cm="1">
        <f t="array" ref="N396">_xlfn.IFS(E396="Electronics","P001", E396="MRO","P002", E396="Office Supplies","P003", E396="Packaging","P004", E396="Raw Materials","P005")</f>
        <v>P002</v>
      </c>
    </row>
    <row r="397" spans="1:14" x14ac:dyDescent="0.2">
      <c r="A397" s="4" t="s">
        <v>411</v>
      </c>
      <c r="B397" s="5" t="s">
        <v>6</v>
      </c>
      <c r="C397" s="6">
        <v>44668</v>
      </c>
      <c r="D397" s="6">
        <f>Table1[[#This Row],[Order_Date]]+14</f>
        <v>44682</v>
      </c>
      <c r="E397" s="5" t="s">
        <v>28</v>
      </c>
      <c r="F397" s="5" t="s">
        <v>7</v>
      </c>
      <c r="G397" s="5">
        <v>927</v>
      </c>
      <c r="H397" s="5">
        <v>48.89</v>
      </c>
      <c r="I397" s="5">
        <v>46.05</v>
      </c>
      <c r="J397" s="5">
        <v>138</v>
      </c>
      <c r="K397" s="5" t="s">
        <v>4</v>
      </c>
      <c r="L397" s="5" t="str">
        <f t="shared" si="6"/>
        <v>Delivered</v>
      </c>
      <c r="M397" t="str" cm="1">
        <f t="array" ref="M397">_xlfn.IFS(B397="Alpha_Inc","S001", B397="Delta_Logistics","S002", B397="Gamma_Co","S003", B397="Beta_Supplies","S004", B397="Epsilon_Group","S005")</f>
        <v>S002</v>
      </c>
      <c r="N397" t="str" cm="1">
        <f t="array" ref="N397">_xlfn.IFS(E397="Electronics","P001", E397="MRO","P002", E397="Office Supplies","P003", E397="Packaging","P004", E397="Raw Materials","P005")</f>
        <v>P001</v>
      </c>
    </row>
    <row r="398" spans="1:14" x14ac:dyDescent="0.2">
      <c r="A398" s="1" t="s">
        <v>412</v>
      </c>
      <c r="B398" s="2" t="s">
        <v>6</v>
      </c>
      <c r="C398" s="3">
        <v>44699</v>
      </c>
      <c r="D398" s="3">
        <v>44704</v>
      </c>
      <c r="E398" s="2" t="s">
        <v>15</v>
      </c>
      <c r="F398" s="2" t="s">
        <v>3</v>
      </c>
      <c r="G398" s="2">
        <v>387</v>
      </c>
      <c r="H398" s="2">
        <v>77.81</v>
      </c>
      <c r="I398" s="2">
        <v>69.040000000000006</v>
      </c>
      <c r="J398" s="2">
        <v>67</v>
      </c>
      <c r="K398" s="2" t="s">
        <v>4</v>
      </c>
      <c r="L398" s="2" t="str">
        <f t="shared" si="6"/>
        <v>Cancelled</v>
      </c>
      <c r="M398" t="str" cm="1">
        <f t="array" ref="M398">_xlfn.IFS(B398="Alpha_Inc","S001", B398="Delta_Logistics","S002", B398="Gamma_Co","S003", B398="Beta_Supplies","S004", B398="Epsilon_Group","S005")</f>
        <v>S002</v>
      </c>
      <c r="N398" t="str" cm="1">
        <f t="array" ref="N398">_xlfn.IFS(E398="Electronics","P001", E398="MRO","P002", E398="Office Supplies","P003", E398="Packaging","P004", E398="Raw Materials","P005")</f>
        <v>P005</v>
      </c>
    </row>
    <row r="399" spans="1:14" x14ac:dyDescent="0.2">
      <c r="A399" s="4" t="s">
        <v>413</v>
      </c>
      <c r="B399" s="5" t="s">
        <v>12</v>
      </c>
      <c r="C399" s="6">
        <v>44832</v>
      </c>
      <c r="D399" s="6">
        <v>44837</v>
      </c>
      <c r="E399" s="5" t="s">
        <v>28</v>
      </c>
      <c r="F399" s="5" t="s">
        <v>7</v>
      </c>
      <c r="G399" s="5">
        <v>1779</v>
      </c>
      <c r="H399" s="5">
        <v>97.86</v>
      </c>
      <c r="I399" s="5">
        <v>94.36</v>
      </c>
      <c r="J399" s="5">
        <v>176</v>
      </c>
      <c r="K399" s="5" t="s">
        <v>4</v>
      </c>
      <c r="L399" s="5" t="str">
        <f t="shared" si="6"/>
        <v>Delivered</v>
      </c>
      <c r="M399" t="str" cm="1">
        <f t="array" ref="M399">_xlfn.IFS(B399="Alpha_Inc","S001", B399="Delta_Logistics","S002", B399="Gamma_Co","S003", B399="Beta_Supplies","S004", B399="Epsilon_Group","S005")</f>
        <v>S004</v>
      </c>
      <c r="N399" t="str" cm="1">
        <f t="array" ref="N399">_xlfn.IFS(E399="Electronics","P001", E399="MRO","P002", E399="Office Supplies","P003", E399="Packaging","P004", E399="Raw Materials","P005")</f>
        <v>P001</v>
      </c>
    </row>
    <row r="400" spans="1:14" x14ac:dyDescent="0.2">
      <c r="A400" s="1" t="s">
        <v>414</v>
      </c>
      <c r="B400" s="2" t="s">
        <v>9</v>
      </c>
      <c r="C400" s="3">
        <v>44680</v>
      </c>
      <c r="D400" s="3">
        <v>44686</v>
      </c>
      <c r="E400" s="2" t="s">
        <v>10</v>
      </c>
      <c r="F400" s="2" t="s">
        <v>24</v>
      </c>
      <c r="G400" s="2">
        <v>871</v>
      </c>
      <c r="H400" s="2">
        <v>94.7</v>
      </c>
      <c r="I400" s="2">
        <v>92.66</v>
      </c>
      <c r="J400" s="2">
        <v>46</v>
      </c>
      <c r="K400" s="2" t="s">
        <v>4</v>
      </c>
      <c r="L400" s="2" t="str">
        <f t="shared" si="6"/>
        <v>Pending</v>
      </c>
      <c r="M400" t="str" cm="1">
        <f t="array" ref="M400">_xlfn.IFS(B400="Alpha_Inc","S001", B400="Delta_Logistics","S002", B400="Gamma_Co","S003", B400="Beta_Supplies","S004", B400="Epsilon_Group","S005")</f>
        <v>S003</v>
      </c>
      <c r="N400" t="str" cm="1">
        <f t="array" ref="N400">_xlfn.IFS(E400="Electronics","P001", E400="MRO","P002", E400="Office Supplies","P003", E400="Packaging","P004", E400="Raw Materials","P005")</f>
        <v>P002</v>
      </c>
    </row>
    <row r="401" spans="1:14" x14ac:dyDescent="0.2">
      <c r="A401" s="4" t="s">
        <v>415</v>
      </c>
      <c r="B401" s="5" t="s">
        <v>18</v>
      </c>
      <c r="C401" s="6">
        <v>44671</v>
      </c>
      <c r="D401" s="6">
        <v>44674</v>
      </c>
      <c r="E401" s="5" t="s">
        <v>28</v>
      </c>
      <c r="F401" s="5" t="s">
        <v>7</v>
      </c>
      <c r="G401" s="5">
        <v>1236</v>
      </c>
      <c r="H401" s="5">
        <v>51.33</v>
      </c>
      <c r="I401" s="5">
        <v>44.03</v>
      </c>
      <c r="J401" s="5">
        <v>25</v>
      </c>
      <c r="K401" s="5" t="s">
        <v>4</v>
      </c>
      <c r="L401" s="5" t="str">
        <f t="shared" si="6"/>
        <v>Delivered</v>
      </c>
      <c r="M401" t="str" cm="1">
        <f t="array" ref="M401">_xlfn.IFS(B401="Alpha_Inc","S001", B401="Delta_Logistics","S002", B401="Gamma_Co","S003", B401="Beta_Supplies","S004", B401="Epsilon_Group","S005")</f>
        <v>S005</v>
      </c>
      <c r="N401" t="str" cm="1">
        <f t="array" ref="N401">_xlfn.IFS(E401="Electronics","P001", E401="MRO","P002", E401="Office Supplies","P003", E401="Packaging","P004", E401="Raw Materials","P005")</f>
        <v>P001</v>
      </c>
    </row>
    <row r="402" spans="1:14" x14ac:dyDescent="0.2">
      <c r="A402" s="1" t="s">
        <v>416</v>
      </c>
      <c r="B402" s="2" t="s">
        <v>6</v>
      </c>
      <c r="C402" s="3">
        <v>45128</v>
      </c>
      <c r="D402" s="3">
        <v>45144</v>
      </c>
      <c r="E402" s="2" t="s">
        <v>28</v>
      </c>
      <c r="F402" s="2" t="s">
        <v>7</v>
      </c>
      <c r="G402" s="2">
        <v>1793</v>
      </c>
      <c r="H402" s="2">
        <v>22.01</v>
      </c>
      <c r="I402" s="2">
        <v>21.78</v>
      </c>
      <c r="J402" s="2">
        <v>285</v>
      </c>
      <c r="K402" s="2" t="s">
        <v>4</v>
      </c>
      <c r="L402" s="2" t="str">
        <f t="shared" si="6"/>
        <v>Delivered</v>
      </c>
      <c r="M402" t="str" cm="1">
        <f t="array" ref="M402">_xlfn.IFS(B402="Alpha_Inc","S001", B402="Delta_Logistics","S002", B402="Gamma_Co","S003", B402="Beta_Supplies","S004", B402="Epsilon_Group","S005")</f>
        <v>S002</v>
      </c>
      <c r="N402" t="str" cm="1">
        <f t="array" ref="N402">_xlfn.IFS(E402="Electronics","P001", E402="MRO","P002", E402="Office Supplies","P003", E402="Packaging","P004", E402="Raw Materials","P005")</f>
        <v>P001</v>
      </c>
    </row>
    <row r="403" spans="1:14" x14ac:dyDescent="0.2">
      <c r="A403" s="4" t="s">
        <v>417</v>
      </c>
      <c r="B403" s="5" t="s">
        <v>6</v>
      </c>
      <c r="C403" s="6">
        <v>44721</v>
      </c>
      <c r="D403" s="6">
        <v>44740</v>
      </c>
      <c r="E403" s="5" t="s">
        <v>10</v>
      </c>
      <c r="F403" s="5" t="s">
        <v>7</v>
      </c>
      <c r="G403" s="5">
        <v>1006</v>
      </c>
      <c r="H403" s="5">
        <v>101.1</v>
      </c>
      <c r="I403" s="5">
        <v>89.04</v>
      </c>
      <c r="J403" s="5">
        <v>139</v>
      </c>
      <c r="K403" s="5" t="s">
        <v>4</v>
      </c>
      <c r="L403" s="5" t="str">
        <f t="shared" si="6"/>
        <v>Delivered</v>
      </c>
      <c r="M403" t="str" cm="1">
        <f t="array" ref="M403">_xlfn.IFS(B403="Alpha_Inc","S001", B403="Delta_Logistics","S002", B403="Gamma_Co","S003", B403="Beta_Supplies","S004", B403="Epsilon_Group","S005")</f>
        <v>S002</v>
      </c>
      <c r="N403" t="str" cm="1">
        <f t="array" ref="N403">_xlfn.IFS(E403="Electronics","P001", E403="MRO","P002", E403="Office Supplies","P003", E403="Packaging","P004", E403="Raw Materials","P005")</f>
        <v>P002</v>
      </c>
    </row>
    <row r="404" spans="1:14" x14ac:dyDescent="0.2">
      <c r="A404" s="1" t="s">
        <v>418</v>
      </c>
      <c r="B404" s="2" t="s">
        <v>12</v>
      </c>
      <c r="C404" s="3">
        <v>44840</v>
      </c>
      <c r="D404" s="3">
        <v>44855</v>
      </c>
      <c r="E404" s="2" t="s">
        <v>28</v>
      </c>
      <c r="F404" s="2" t="s">
        <v>3</v>
      </c>
      <c r="G404" s="2">
        <v>1754</v>
      </c>
      <c r="H404" s="2">
        <v>89.35</v>
      </c>
      <c r="I404" s="2">
        <v>86.54</v>
      </c>
      <c r="J404" s="2">
        <v>161</v>
      </c>
      <c r="K404" s="2" t="s">
        <v>16</v>
      </c>
      <c r="L404" s="2" t="str">
        <f t="shared" si="6"/>
        <v>Cancelled</v>
      </c>
      <c r="M404" t="str" cm="1">
        <f t="array" ref="M404">_xlfn.IFS(B404="Alpha_Inc","S001", B404="Delta_Logistics","S002", B404="Gamma_Co","S003", B404="Beta_Supplies","S004", B404="Epsilon_Group","S005")</f>
        <v>S004</v>
      </c>
      <c r="N404" t="str" cm="1">
        <f t="array" ref="N404">_xlfn.IFS(E404="Electronics","P001", E404="MRO","P002", E404="Office Supplies","P003", E404="Packaging","P004", E404="Raw Materials","P005")</f>
        <v>P001</v>
      </c>
    </row>
    <row r="405" spans="1:14" x14ac:dyDescent="0.2">
      <c r="A405" s="4" t="s">
        <v>419</v>
      </c>
      <c r="B405" s="5" t="s">
        <v>18</v>
      </c>
      <c r="C405" s="6">
        <v>44850</v>
      </c>
      <c r="D405" s="6">
        <v>44869</v>
      </c>
      <c r="E405" s="5" t="s">
        <v>28</v>
      </c>
      <c r="F405" s="5" t="s">
        <v>7</v>
      </c>
      <c r="G405" s="5">
        <v>210</v>
      </c>
      <c r="H405" s="5">
        <v>22.17</v>
      </c>
      <c r="I405" s="5">
        <v>21.32</v>
      </c>
      <c r="J405" s="5">
        <v>10</v>
      </c>
      <c r="K405" s="5" t="s">
        <v>4</v>
      </c>
      <c r="L405" s="5" t="str">
        <f t="shared" si="6"/>
        <v>Delivered</v>
      </c>
      <c r="M405" t="str" cm="1">
        <f t="array" ref="M405">_xlfn.IFS(B405="Alpha_Inc","S001", B405="Delta_Logistics","S002", B405="Gamma_Co","S003", B405="Beta_Supplies","S004", B405="Epsilon_Group","S005")</f>
        <v>S005</v>
      </c>
      <c r="N405" t="str" cm="1">
        <f t="array" ref="N405">_xlfn.IFS(E405="Electronics","P001", E405="MRO","P002", E405="Office Supplies","P003", E405="Packaging","P004", E405="Raw Materials","P005")</f>
        <v>P001</v>
      </c>
    </row>
    <row r="406" spans="1:14" x14ac:dyDescent="0.2">
      <c r="A406" s="1" t="s">
        <v>420</v>
      </c>
      <c r="B406" s="2" t="s">
        <v>6</v>
      </c>
      <c r="C406" s="3">
        <v>45181</v>
      </c>
      <c r="D406" s="3">
        <v>45201</v>
      </c>
      <c r="E406" s="2" t="s">
        <v>10</v>
      </c>
      <c r="F406" s="2" t="s">
        <v>7</v>
      </c>
      <c r="G406" s="2">
        <v>1653</v>
      </c>
      <c r="H406" s="2">
        <v>102.16</v>
      </c>
      <c r="I406" s="2">
        <v>91.91</v>
      </c>
      <c r="J406" s="2">
        <v>217</v>
      </c>
      <c r="K406" s="2" t="s">
        <v>4</v>
      </c>
      <c r="L406" s="2" t="str">
        <f t="shared" si="6"/>
        <v>Delivered</v>
      </c>
      <c r="M406" t="str" cm="1">
        <f t="array" ref="M406">_xlfn.IFS(B406="Alpha_Inc","S001", B406="Delta_Logistics","S002", B406="Gamma_Co","S003", B406="Beta_Supplies","S004", B406="Epsilon_Group","S005")</f>
        <v>S002</v>
      </c>
      <c r="N406" t="str" cm="1">
        <f t="array" ref="N406">_xlfn.IFS(E406="Electronics","P001", E406="MRO","P002", E406="Office Supplies","P003", E406="Packaging","P004", E406="Raw Materials","P005")</f>
        <v>P002</v>
      </c>
    </row>
    <row r="407" spans="1:14" x14ac:dyDescent="0.2">
      <c r="A407" s="4" t="s">
        <v>421</v>
      </c>
      <c r="B407" s="5" t="s">
        <v>1</v>
      </c>
      <c r="C407" s="6">
        <v>44777</v>
      </c>
      <c r="D407" s="6">
        <v>44788</v>
      </c>
      <c r="E407" s="5" t="s">
        <v>10</v>
      </c>
      <c r="F407" s="5" t="s">
        <v>22</v>
      </c>
      <c r="G407" s="5">
        <v>850</v>
      </c>
      <c r="H407" s="5">
        <v>91.38</v>
      </c>
      <c r="I407" s="5">
        <v>88.41</v>
      </c>
      <c r="J407" s="5">
        <v>24</v>
      </c>
      <c r="K407" s="5" t="s">
        <v>4</v>
      </c>
      <c r="L407" s="5" t="str">
        <f t="shared" si="6"/>
        <v>Partially Delivered</v>
      </c>
      <c r="M407" t="str" cm="1">
        <f t="array" ref="M407">_xlfn.IFS(B407="Alpha_Inc","S001", B407="Delta_Logistics","S002", B407="Gamma_Co","S003", B407="Beta_Supplies","S004", B407="Epsilon_Group","S005")</f>
        <v>S001</v>
      </c>
      <c r="N407" t="str" cm="1">
        <f t="array" ref="N407">_xlfn.IFS(E407="Electronics","P001", E407="MRO","P002", E407="Office Supplies","P003", E407="Packaging","P004", E407="Raw Materials","P005")</f>
        <v>P002</v>
      </c>
    </row>
    <row r="408" spans="1:14" x14ac:dyDescent="0.2">
      <c r="A408" s="1" t="s">
        <v>422</v>
      </c>
      <c r="B408" s="2" t="s">
        <v>18</v>
      </c>
      <c r="C408" s="3">
        <v>44913</v>
      </c>
      <c r="D408" s="3">
        <v>44916</v>
      </c>
      <c r="E408" s="2" t="s">
        <v>15</v>
      </c>
      <c r="F408" s="2" t="s">
        <v>7</v>
      </c>
      <c r="G408" s="2">
        <v>447</v>
      </c>
      <c r="H408" s="2">
        <v>59.81</v>
      </c>
      <c r="I408" s="2">
        <v>57.92</v>
      </c>
      <c r="J408" s="2">
        <v>13</v>
      </c>
      <c r="K408" s="2" t="s">
        <v>4</v>
      </c>
      <c r="L408" s="2" t="str">
        <f t="shared" si="6"/>
        <v>Delivered</v>
      </c>
      <c r="M408" t="str" cm="1">
        <f t="array" ref="M408">_xlfn.IFS(B408="Alpha_Inc","S001", B408="Delta_Logistics","S002", B408="Gamma_Co","S003", B408="Beta_Supplies","S004", B408="Epsilon_Group","S005")</f>
        <v>S005</v>
      </c>
      <c r="N408" t="str" cm="1">
        <f t="array" ref="N408">_xlfn.IFS(E408="Electronics","P001", E408="MRO","P002", E408="Office Supplies","P003", E408="Packaging","P004", E408="Raw Materials","P005")</f>
        <v>P005</v>
      </c>
    </row>
    <row r="409" spans="1:14" x14ac:dyDescent="0.2">
      <c r="A409" s="4" t="s">
        <v>423</v>
      </c>
      <c r="B409" s="5" t="s">
        <v>9</v>
      </c>
      <c r="C409" s="6">
        <v>44770</v>
      </c>
      <c r="D409" s="6">
        <v>44780</v>
      </c>
      <c r="E409" s="5" t="s">
        <v>2</v>
      </c>
      <c r="F409" s="5" t="s">
        <v>7</v>
      </c>
      <c r="G409" s="5">
        <v>1350</v>
      </c>
      <c r="H409" s="5">
        <v>65.11</v>
      </c>
      <c r="I409" s="5">
        <v>56.95</v>
      </c>
      <c r="J409" s="5">
        <v>71</v>
      </c>
      <c r="K409" s="5" t="s">
        <v>4</v>
      </c>
      <c r="L409" s="5" t="str">
        <f t="shared" si="6"/>
        <v>Delivered</v>
      </c>
      <c r="M409" t="str" cm="1">
        <f t="array" ref="M409">_xlfn.IFS(B409="Alpha_Inc","S001", B409="Delta_Logistics","S002", B409="Gamma_Co","S003", B409="Beta_Supplies","S004", B409="Epsilon_Group","S005")</f>
        <v>S003</v>
      </c>
      <c r="N409" t="str" cm="1">
        <f t="array" ref="N409">_xlfn.IFS(E409="Electronics","P001", E409="MRO","P002", E409="Office Supplies","P003", E409="Packaging","P004", E409="Raw Materials","P005")</f>
        <v>P003</v>
      </c>
    </row>
    <row r="410" spans="1:14" x14ac:dyDescent="0.2">
      <c r="A410" s="1" t="s">
        <v>424</v>
      </c>
      <c r="B410" s="2" t="s">
        <v>12</v>
      </c>
      <c r="C410" s="3">
        <v>45265</v>
      </c>
      <c r="D410" s="3">
        <v>45284</v>
      </c>
      <c r="E410" s="2" t="s">
        <v>2</v>
      </c>
      <c r="F410" s="2" t="s">
        <v>7</v>
      </c>
      <c r="G410" s="2">
        <v>865</v>
      </c>
      <c r="H410" s="2">
        <v>51.19</v>
      </c>
      <c r="I410" s="2">
        <v>47.76</v>
      </c>
      <c r="J410" s="2">
        <v>83</v>
      </c>
      <c r="K410" s="2" t="s">
        <v>4</v>
      </c>
      <c r="L410" s="2" t="str">
        <f t="shared" si="6"/>
        <v>Delivered</v>
      </c>
      <c r="M410" t="str" cm="1">
        <f t="array" ref="M410">_xlfn.IFS(B410="Alpha_Inc","S001", B410="Delta_Logistics","S002", B410="Gamma_Co","S003", B410="Beta_Supplies","S004", B410="Epsilon_Group","S005")</f>
        <v>S004</v>
      </c>
      <c r="N410" t="str" cm="1">
        <f t="array" ref="N410">_xlfn.IFS(E410="Electronics","P001", E410="MRO","P002", E410="Office Supplies","P003", E410="Packaging","P004", E410="Raw Materials","P005")</f>
        <v>P003</v>
      </c>
    </row>
    <row r="411" spans="1:14" x14ac:dyDescent="0.2">
      <c r="A411" s="4" t="s">
        <v>425</v>
      </c>
      <c r="B411" s="5" t="s">
        <v>1</v>
      </c>
      <c r="C411" s="6">
        <v>45211</v>
      </c>
      <c r="D411" s="6">
        <v>45228</v>
      </c>
      <c r="E411" s="5" t="s">
        <v>10</v>
      </c>
      <c r="F411" s="5" t="s">
        <v>7</v>
      </c>
      <c r="G411" s="5">
        <v>1989</v>
      </c>
      <c r="H411" s="5">
        <v>16.5</v>
      </c>
      <c r="I411" s="5">
        <v>15.89</v>
      </c>
      <c r="J411" s="5">
        <v>57</v>
      </c>
      <c r="K411" s="5" t="s">
        <v>4</v>
      </c>
      <c r="L411" s="5" t="str">
        <f t="shared" si="6"/>
        <v>Delivered</v>
      </c>
      <c r="M411" t="str" cm="1">
        <f t="array" ref="M411">_xlfn.IFS(B411="Alpha_Inc","S001", B411="Delta_Logistics","S002", B411="Gamma_Co","S003", B411="Beta_Supplies","S004", B411="Epsilon_Group","S005")</f>
        <v>S001</v>
      </c>
      <c r="N411" t="str" cm="1">
        <f t="array" ref="N411">_xlfn.IFS(E411="Electronics","P001", E411="MRO","P002", E411="Office Supplies","P003", E411="Packaging","P004", E411="Raw Materials","P005")</f>
        <v>P002</v>
      </c>
    </row>
    <row r="412" spans="1:14" x14ac:dyDescent="0.2">
      <c r="A412" s="1" t="s">
        <v>426</v>
      </c>
      <c r="B412" s="2" t="s">
        <v>1</v>
      </c>
      <c r="C412" s="3">
        <v>44832</v>
      </c>
      <c r="D412" s="3">
        <v>44847</v>
      </c>
      <c r="E412" s="2" t="s">
        <v>2</v>
      </c>
      <c r="F412" s="2" t="s">
        <v>7</v>
      </c>
      <c r="G412" s="2">
        <v>1577</v>
      </c>
      <c r="H412" s="2">
        <v>41.77</v>
      </c>
      <c r="I412" s="2">
        <v>39.58</v>
      </c>
      <c r="J412" s="2">
        <v>32</v>
      </c>
      <c r="K412" s="2" t="s">
        <v>4</v>
      </c>
      <c r="L412" s="2" t="str">
        <f t="shared" si="6"/>
        <v>Delivered</v>
      </c>
      <c r="M412" t="str" cm="1">
        <f t="array" ref="M412">_xlfn.IFS(B412="Alpha_Inc","S001", B412="Delta_Logistics","S002", B412="Gamma_Co","S003", B412="Beta_Supplies","S004", B412="Epsilon_Group","S005")</f>
        <v>S001</v>
      </c>
      <c r="N412" t="str" cm="1">
        <f t="array" ref="N412">_xlfn.IFS(E412="Electronics","P001", E412="MRO","P002", E412="Office Supplies","P003", E412="Packaging","P004", E412="Raw Materials","P005")</f>
        <v>P003</v>
      </c>
    </row>
    <row r="413" spans="1:14" x14ac:dyDescent="0.2">
      <c r="A413" s="4" t="s">
        <v>427</v>
      </c>
      <c r="B413" s="5" t="s">
        <v>9</v>
      </c>
      <c r="C413" s="6">
        <v>45079</v>
      </c>
      <c r="D413" s="6">
        <v>45081</v>
      </c>
      <c r="E413" s="5" t="s">
        <v>13</v>
      </c>
      <c r="F413" s="5" t="s">
        <v>24</v>
      </c>
      <c r="G413" s="5">
        <v>1969</v>
      </c>
      <c r="H413" s="5">
        <v>89.25</v>
      </c>
      <c r="I413" s="5">
        <v>87.28</v>
      </c>
      <c r="J413" s="5">
        <v>108</v>
      </c>
      <c r="K413" s="5" t="s">
        <v>16</v>
      </c>
      <c r="L413" s="5" t="str">
        <f t="shared" si="6"/>
        <v>Pending</v>
      </c>
      <c r="M413" t="str" cm="1">
        <f t="array" ref="M413">_xlfn.IFS(B413="Alpha_Inc","S001", B413="Delta_Logistics","S002", B413="Gamma_Co","S003", B413="Beta_Supplies","S004", B413="Epsilon_Group","S005")</f>
        <v>S003</v>
      </c>
      <c r="N413" t="str" cm="1">
        <f t="array" ref="N413">_xlfn.IFS(E413="Electronics","P001", E413="MRO","P002", E413="Office Supplies","P003", E413="Packaging","P004", E413="Raw Materials","P005")</f>
        <v>P004</v>
      </c>
    </row>
    <row r="414" spans="1:14" x14ac:dyDescent="0.2">
      <c r="A414" s="1" t="s">
        <v>428</v>
      </c>
      <c r="B414" s="2" t="s">
        <v>12</v>
      </c>
      <c r="C414" s="3">
        <v>45062</v>
      </c>
      <c r="D414" s="3">
        <v>45072</v>
      </c>
      <c r="E414" s="2" t="s">
        <v>13</v>
      </c>
      <c r="F414" s="2" t="s">
        <v>22</v>
      </c>
      <c r="G414" s="2">
        <v>1465</v>
      </c>
      <c r="H414" s="2">
        <v>11.25</v>
      </c>
      <c r="I414" s="2">
        <v>9.61</v>
      </c>
      <c r="J414" s="2">
        <v>151</v>
      </c>
      <c r="K414" s="2" t="s">
        <v>4</v>
      </c>
      <c r="L414" s="2" t="str">
        <f t="shared" si="6"/>
        <v>Partially Delivered</v>
      </c>
      <c r="M414" t="str" cm="1">
        <f t="array" ref="M414">_xlfn.IFS(B414="Alpha_Inc","S001", B414="Delta_Logistics","S002", B414="Gamma_Co","S003", B414="Beta_Supplies","S004", B414="Epsilon_Group","S005")</f>
        <v>S004</v>
      </c>
      <c r="N414" t="str" cm="1">
        <f t="array" ref="N414">_xlfn.IFS(E414="Electronics","P001", E414="MRO","P002", E414="Office Supplies","P003", E414="Packaging","P004", E414="Raw Materials","P005")</f>
        <v>P004</v>
      </c>
    </row>
    <row r="415" spans="1:14" x14ac:dyDescent="0.2">
      <c r="A415" s="4" t="s">
        <v>429</v>
      </c>
      <c r="B415" s="5" t="s">
        <v>6</v>
      </c>
      <c r="C415" s="6">
        <v>44819</v>
      </c>
      <c r="D415" s="6">
        <v>44822</v>
      </c>
      <c r="E415" s="5" t="s">
        <v>13</v>
      </c>
      <c r="F415" s="5" t="s">
        <v>24</v>
      </c>
      <c r="G415" s="5">
        <v>1208</v>
      </c>
      <c r="H415" s="5">
        <v>41.62</v>
      </c>
      <c r="I415" s="5">
        <v>39.46</v>
      </c>
      <c r="J415" s="5">
        <v>0</v>
      </c>
      <c r="K415" s="5" t="s">
        <v>4</v>
      </c>
      <c r="L415" s="5" t="str">
        <f t="shared" si="6"/>
        <v>Pending</v>
      </c>
      <c r="M415" t="str" cm="1">
        <f t="array" ref="M415">_xlfn.IFS(B415="Alpha_Inc","S001", B415="Delta_Logistics","S002", B415="Gamma_Co","S003", B415="Beta_Supplies","S004", B415="Epsilon_Group","S005")</f>
        <v>S002</v>
      </c>
      <c r="N415" t="str" cm="1">
        <f t="array" ref="N415">_xlfn.IFS(E415="Electronics","P001", E415="MRO","P002", E415="Office Supplies","P003", E415="Packaging","P004", E415="Raw Materials","P005")</f>
        <v>P004</v>
      </c>
    </row>
    <row r="416" spans="1:14" x14ac:dyDescent="0.2">
      <c r="A416" s="1" t="s">
        <v>430</v>
      </c>
      <c r="B416" s="2" t="s">
        <v>12</v>
      </c>
      <c r="C416" s="3">
        <v>44614</v>
      </c>
      <c r="D416" s="3">
        <v>44631</v>
      </c>
      <c r="E416" s="2" t="s">
        <v>15</v>
      </c>
      <c r="F416" s="2" t="s">
        <v>7</v>
      </c>
      <c r="G416" s="2">
        <v>1268</v>
      </c>
      <c r="H416" s="2">
        <v>46.06</v>
      </c>
      <c r="I416" s="2">
        <v>45.26</v>
      </c>
      <c r="J416" s="2">
        <v>123</v>
      </c>
      <c r="K416" s="2" t="s">
        <v>4</v>
      </c>
      <c r="L416" s="2" t="str">
        <f t="shared" si="6"/>
        <v>Delivered</v>
      </c>
      <c r="M416" t="str" cm="1">
        <f t="array" ref="M416">_xlfn.IFS(B416="Alpha_Inc","S001", B416="Delta_Logistics","S002", B416="Gamma_Co","S003", B416="Beta_Supplies","S004", B416="Epsilon_Group","S005")</f>
        <v>S004</v>
      </c>
      <c r="N416" t="str" cm="1">
        <f t="array" ref="N416">_xlfn.IFS(E416="Electronics","P001", E416="MRO","P002", E416="Office Supplies","P003", E416="Packaging","P004", E416="Raw Materials","P005")</f>
        <v>P005</v>
      </c>
    </row>
    <row r="417" spans="1:14" x14ac:dyDescent="0.2">
      <c r="A417" s="4" t="s">
        <v>431</v>
      </c>
      <c r="B417" s="5" t="s">
        <v>6</v>
      </c>
      <c r="C417" s="6">
        <v>44656</v>
      </c>
      <c r="D417" s="6">
        <v>44675</v>
      </c>
      <c r="E417" s="5" t="s">
        <v>2</v>
      </c>
      <c r="F417" s="5" t="s">
        <v>7</v>
      </c>
      <c r="G417" s="5">
        <v>450</v>
      </c>
      <c r="H417" s="5">
        <v>59.24</v>
      </c>
      <c r="I417" s="5">
        <v>55.03</v>
      </c>
      <c r="J417" s="5">
        <v>68</v>
      </c>
      <c r="K417" s="5" t="s">
        <v>16</v>
      </c>
      <c r="L417" s="5" t="str">
        <f t="shared" si="6"/>
        <v>Delivered</v>
      </c>
      <c r="M417" t="str" cm="1">
        <f t="array" ref="M417">_xlfn.IFS(B417="Alpha_Inc","S001", B417="Delta_Logistics","S002", B417="Gamma_Co","S003", B417="Beta_Supplies","S004", B417="Epsilon_Group","S005")</f>
        <v>S002</v>
      </c>
      <c r="N417" t="str" cm="1">
        <f t="array" ref="N417">_xlfn.IFS(E417="Electronics","P001", E417="MRO","P002", E417="Office Supplies","P003", E417="Packaging","P004", E417="Raw Materials","P005")</f>
        <v>P003</v>
      </c>
    </row>
    <row r="418" spans="1:14" x14ac:dyDescent="0.2">
      <c r="A418" s="1" t="s">
        <v>432</v>
      </c>
      <c r="B418" s="2" t="s">
        <v>9</v>
      </c>
      <c r="C418" s="3">
        <v>45211</v>
      </c>
      <c r="D418" s="3">
        <v>45213</v>
      </c>
      <c r="E418" s="2" t="s">
        <v>28</v>
      </c>
      <c r="F418" s="2" t="s">
        <v>22</v>
      </c>
      <c r="G418" s="2">
        <v>689</v>
      </c>
      <c r="H418" s="2">
        <v>102.53</v>
      </c>
      <c r="I418" s="2">
        <v>95.23</v>
      </c>
      <c r="J418" s="2">
        <v>38</v>
      </c>
      <c r="K418" s="2" t="s">
        <v>4</v>
      </c>
      <c r="L418" s="2" t="str">
        <f t="shared" si="6"/>
        <v>Partially Delivered</v>
      </c>
      <c r="M418" t="str" cm="1">
        <f t="array" ref="M418">_xlfn.IFS(B418="Alpha_Inc","S001", B418="Delta_Logistics","S002", B418="Gamma_Co","S003", B418="Beta_Supplies","S004", B418="Epsilon_Group","S005")</f>
        <v>S003</v>
      </c>
      <c r="N418" t="str" cm="1">
        <f t="array" ref="N418">_xlfn.IFS(E418="Electronics","P001", E418="MRO","P002", E418="Office Supplies","P003", E418="Packaging","P004", E418="Raw Materials","P005")</f>
        <v>P001</v>
      </c>
    </row>
    <row r="419" spans="1:14" x14ac:dyDescent="0.2">
      <c r="A419" s="4" t="s">
        <v>433</v>
      </c>
      <c r="B419" s="5" t="s">
        <v>9</v>
      </c>
      <c r="C419" s="6">
        <v>44995</v>
      </c>
      <c r="D419" s="6">
        <v>45014</v>
      </c>
      <c r="E419" s="5" t="s">
        <v>10</v>
      </c>
      <c r="F419" s="5" t="s">
        <v>7</v>
      </c>
      <c r="G419" s="5">
        <v>1106</v>
      </c>
      <c r="H419" s="5">
        <v>44.05</v>
      </c>
      <c r="I419" s="5">
        <v>38.6</v>
      </c>
      <c r="J419" s="5">
        <v>51</v>
      </c>
      <c r="K419" s="5" t="s">
        <v>4</v>
      </c>
      <c r="L419" s="5" t="str">
        <f t="shared" si="6"/>
        <v>Delivered</v>
      </c>
      <c r="M419" t="str" cm="1">
        <f t="array" ref="M419">_xlfn.IFS(B419="Alpha_Inc","S001", B419="Delta_Logistics","S002", B419="Gamma_Co","S003", B419="Beta_Supplies","S004", B419="Epsilon_Group","S005")</f>
        <v>S003</v>
      </c>
      <c r="N419" t="str" cm="1">
        <f t="array" ref="N419">_xlfn.IFS(E419="Electronics","P001", E419="MRO","P002", E419="Office Supplies","P003", E419="Packaging","P004", E419="Raw Materials","P005")</f>
        <v>P002</v>
      </c>
    </row>
    <row r="420" spans="1:14" x14ac:dyDescent="0.2">
      <c r="A420" s="1" t="s">
        <v>434</v>
      </c>
      <c r="B420" s="2" t="s">
        <v>1</v>
      </c>
      <c r="C420" s="3">
        <v>44845</v>
      </c>
      <c r="D420" s="3">
        <v>44856</v>
      </c>
      <c r="E420" s="2" t="s">
        <v>2</v>
      </c>
      <c r="F420" s="2" t="s">
        <v>7</v>
      </c>
      <c r="G420" s="2">
        <v>737</v>
      </c>
      <c r="H420" s="2">
        <v>43.08</v>
      </c>
      <c r="I420" s="2">
        <v>42.58</v>
      </c>
      <c r="J420" s="2">
        <v>21</v>
      </c>
      <c r="K420" s="2" t="s">
        <v>4</v>
      </c>
      <c r="L420" s="2" t="str">
        <f t="shared" si="6"/>
        <v>Delivered</v>
      </c>
      <c r="M420" t="str" cm="1">
        <f t="array" ref="M420">_xlfn.IFS(B420="Alpha_Inc","S001", B420="Delta_Logistics","S002", B420="Gamma_Co","S003", B420="Beta_Supplies","S004", B420="Epsilon_Group","S005")</f>
        <v>S001</v>
      </c>
      <c r="N420" t="str" cm="1">
        <f t="array" ref="N420">_xlfn.IFS(E420="Electronics","P001", E420="MRO","P002", E420="Office Supplies","P003", E420="Packaging","P004", E420="Raw Materials","P005")</f>
        <v>P003</v>
      </c>
    </row>
    <row r="421" spans="1:14" x14ac:dyDescent="0.2">
      <c r="A421" s="4" t="s">
        <v>435</v>
      </c>
      <c r="B421" s="5" t="s">
        <v>1</v>
      </c>
      <c r="C421" s="6">
        <v>44607</v>
      </c>
      <c r="D421" s="6">
        <v>44624</v>
      </c>
      <c r="E421" s="5" t="s">
        <v>15</v>
      </c>
      <c r="F421" s="5" t="s">
        <v>7</v>
      </c>
      <c r="G421" s="5">
        <v>509</v>
      </c>
      <c r="H421" s="5">
        <v>76.760000000000005</v>
      </c>
      <c r="I421" s="5">
        <v>74.72</v>
      </c>
      <c r="J421" s="5">
        <v>7</v>
      </c>
      <c r="K421" s="5" t="s">
        <v>16</v>
      </c>
      <c r="L421" s="5" t="str">
        <f t="shared" si="6"/>
        <v>Delivered</v>
      </c>
      <c r="M421" t="str" cm="1">
        <f t="array" ref="M421">_xlfn.IFS(B421="Alpha_Inc","S001", B421="Delta_Logistics","S002", B421="Gamma_Co","S003", B421="Beta_Supplies","S004", B421="Epsilon_Group","S005")</f>
        <v>S001</v>
      </c>
      <c r="N421" t="str" cm="1">
        <f t="array" ref="N421">_xlfn.IFS(E421="Electronics","P001", E421="MRO","P002", E421="Office Supplies","P003", E421="Packaging","P004", E421="Raw Materials","P005")</f>
        <v>P005</v>
      </c>
    </row>
    <row r="422" spans="1:14" x14ac:dyDescent="0.2">
      <c r="A422" s="1" t="s">
        <v>436</v>
      </c>
      <c r="B422" s="2" t="s">
        <v>1</v>
      </c>
      <c r="C422" s="3">
        <v>44565</v>
      </c>
      <c r="D422" s="3">
        <v>44567</v>
      </c>
      <c r="E422" s="2" t="s">
        <v>28</v>
      </c>
      <c r="F422" s="2" t="s">
        <v>7</v>
      </c>
      <c r="G422" s="2">
        <v>1004</v>
      </c>
      <c r="H422" s="2">
        <v>50.7</v>
      </c>
      <c r="I422" s="2">
        <v>46.59</v>
      </c>
      <c r="J422" s="2">
        <v>27</v>
      </c>
      <c r="K422" s="2" t="s">
        <v>4</v>
      </c>
      <c r="L422" s="2" t="str">
        <f t="shared" si="6"/>
        <v>Delivered</v>
      </c>
      <c r="M422" t="str" cm="1">
        <f t="array" ref="M422">_xlfn.IFS(B422="Alpha_Inc","S001", B422="Delta_Logistics","S002", B422="Gamma_Co","S003", B422="Beta_Supplies","S004", B422="Epsilon_Group","S005")</f>
        <v>S001</v>
      </c>
      <c r="N422" t="str" cm="1">
        <f t="array" ref="N422">_xlfn.IFS(E422="Electronics","P001", E422="MRO","P002", E422="Office Supplies","P003", E422="Packaging","P004", E422="Raw Materials","P005")</f>
        <v>P001</v>
      </c>
    </row>
    <row r="423" spans="1:14" x14ac:dyDescent="0.2">
      <c r="A423" s="4" t="s">
        <v>437</v>
      </c>
      <c r="B423" s="5" t="s">
        <v>9</v>
      </c>
      <c r="C423" s="6">
        <v>44903</v>
      </c>
      <c r="D423" s="6">
        <v>44914</v>
      </c>
      <c r="E423" s="5" t="s">
        <v>10</v>
      </c>
      <c r="F423" s="5" t="s">
        <v>24</v>
      </c>
      <c r="G423" s="5">
        <v>1956</v>
      </c>
      <c r="H423" s="5">
        <v>31.88</v>
      </c>
      <c r="I423" s="5">
        <v>28.48</v>
      </c>
      <c r="J423" s="5">
        <v>86</v>
      </c>
      <c r="K423" s="5" t="s">
        <v>4</v>
      </c>
      <c r="L423" s="5" t="str">
        <f t="shared" si="6"/>
        <v>Pending</v>
      </c>
      <c r="M423" t="str" cm="1">
        <f t="array" ref="M423">_xlfn.IFS(B423="Alpha_Inc","S001", B423="Delta_Logistics","S002", B423="Gamma_Co","S003", B423="Beta_Supplies","S004", B423="Epsilon_Group","S005")</f>
        <v>S003</v>
      </c>
      <c r="N423" t="str" cm="1">
        <f t="array" ref="N423">_xlfn.IFS(E423="Electronics","P001", E423="MRO","P002", E423="Office Supplies","P003", E423="Packaging","P004", E423="Raw Materials","P005")</f>
        <v>P002</v>
      </c>
    </row>
    <row r="424" spans="1:14" x14ac:dyDescent="0.2">
      <c r="A424" s="1" t="s">
        <v>438</v>
      </c>
      <c r="B424" s="2" t="s">
        <v>6</v>
      </c>
      <c r="C424" s="3">
        <v>44695</v>
      </c>
      <c r="D424" s="3">
        <f>Table1[[#This Row],[Order_Date]]+14</f>
        <v>44709</v>
      </c>
      <c r="E424" s="2" t="s">
        <v>28</v>
      </c>
      <c r="F424" s="2" t="s">
        <v>7</v>
      </c>
      <c r="G424" s="2">
        <v>519</v>
      </c>
      <c r="H424" s="2">
        <v>51.73</v>
      </c>
      <c r="I424" s="2">
        <v>47.52</v>
      </c>
      <c r="J424" s="2">
        <v>81</v>
      </c>
      <c r="K424" s="2" t="s">
        <v>16</v>
      </c>
      <c r="L424" s="2" t="str">
        <f t="shared" si="6"/>
        <v>Delivered</v>
      </c>
      <c r="M424" t="str" cm="1">
        <f t="array" ref="M424">_xlfn.IFS(B424="Alpha_Inc","S001", B424="Delta_Logistics","S002", B424="Gamma_Co","S003", B424="Beta_Supplies","S004", B424="Epsilon_Group","S005")</f>
        <v>S002</v>
      </c>
      <c r="N424" t="str" cm="1">
        <f t="array" ref="N424">_xlfn.IFS(E424="Electronics","P001", E424="MRO","P002", E424="Office Supplies","P003", E424="Packaging","P004", E424="Raw Materials","P005")</f>
        <v>P001</v>
      </c>
    </row>
    <row r="425" spans="1:14" x14ac:dyDescent="0.2">
      <c r="A425" s="4" t="s">
        <v>439</v>
      </c>
      <c r="B425" s="5" t="s">
        <v>9</v>
      </c>
      <c r="C425" s="6">
        <v>45214</v>
      </c>
      <c r="D425" s="6">
        <v>45220</v>
      </c>
      <c r="E425" s="5" t="s">
        <v>10</v>
      </c>
      <c r="F425" s="5" t="s">
        <v>22</v>
      </c>
      <c r="G425" s="5">
        <v>1448</v>
      </c>
      <c r="H425" s="5">
        <v>25.06</v>
      </c>
      <c r="I425" s="5">
        <v>21.62</v>
      </c>
      <c r="J425" s="5">
        <v>84</v>
      </c>
      <c r="K425" s="5" t="s">
        <v>4</v>
      </c>
      <c r="L425" s="5" t="str">
        <f t="shared" si="6"/>
        <v>Partially Delivered</v>
      </c>
      <c r="M425" t="str" cm="1">
        <f t="array" ref="M425">_xlfn.IFS(B425="Alpha_Inc","S001", B425="Delta_Logistics","S002", B425="Gamma_Co","S003", B425="Beta_Supplies","S004", B425="Epsilon_Group","S005")</f>
        <v>S003</v>
      </c>
      <c r="N425" t="str" cm="1">
        <f t="array" ref="N425">_xlfn.IFS(E425="Electronics","P001", E425="MRO","P002", E425="Office Supplies","P003", E425="Packaging","P004", E425="Raw Materials","P005")</f>
        <v>P002</v>
      </c>
    </row>
    <row r="426" spans="1:14" x14ac:dyDescent="0.2">
      <c r="A426" s="1" t="s">
        <v>440</v>
      </c>
      <c r="B426" s="2" t="s">
        <v>9</v>
      </c>
      <c r="C426" s="3">
        <v>44830</v>
      </c>
      <c r="D426" s="3">
        <v>44845</v>
      </c>
      <c r="E426" s="2" t="s">
        <v>13</v>
      </c>
      <c r="F426" s="2" t="s">
        <v>7</v>
      </c>
      <c r="G426" s="2">
        <v>1095</v>
      </c>
      <c r="H426" s="2">
        <v>26.91</v>
      </c>
      <c r="I426" s="2">
        <v>23.75</v>
      </c>
      <c r="J426" s="2">
        <v>53</v>
      </c>
      <c r="K426" s="2" t="s">
        <v>4</v>
      </c>
      <c r="L426" s="2" t="str">
        <f t="shared" si="6"/>
        <v>Delivered</v>
      </c>
      <c r="M426" t="str" cm="1">
        <f t="array" ref="M426">_xlfn.IFS(B426="Alpha_Inc","S001", B426="Delta_Logistics","S002", B426="Gamma_Co","S003", B426="Beta_Supplies","S004", B426="Epsilon_Group","S005")</f>
        <v>S003</v>
      </c>
      <c r="N426" t="str" cm="1">
        <f t="array" ref="N426">_xlfn.IFS(E426="Electronics","P001", E426="MRO","P002", E426="Office Supplies","P003", E426="Packaging","P004", E426="Raw Materials","P005")</f>
        <v>P004</v>
      </c>
    </row>
    <row r="427" spans="1:14" x14ac:dyDescent="0.2">
      <c r="A427" s="4" t="s">
        <v>441</v>
      </c>
      <c r="B427" s="5" t="s">
        <v>1</v>
      </c>
      <c r="C427" s="6">
        <v>44727</v>
      </c>
      <c r="D427" s="6">
        <f>Table1[[#This Row],[Order_Date]]+14</f>
        <v>44741</v>
      </c>
      <c r="E427" s="5" t="s">
        <v>10</v>
      </c>
      <c r="F427" s="5" t="s">
        <v>7</v>
      </c>
      <c r="G427" s="5">
        <v>799</v>
      </c>
      <c r="H427" s="5">
        <v>56.22</v>
      </c>
      <c r="I427" s="5">
        <v>49.51</v>
      </c>
      <c r="J427" s="5">
        <v>18</v>
      </c>
      <c r="K427" s="5" t="s">
        <v>4</v>
      </c>
      <c r="L427" s="5" t="str">
        <f t="shared" si="6"/>
        <v>Delivered</v>
      </c>
      <c r="M427" t="str" cm="1">
        <f t="array" ref="M427">_xlfn.IFS(B427="Alpha_Inc","S001", B427="Delta_Logistics","S002", B427="Gamma_Co","S003", B427="Beta_Supplies","S004", B427="Epsilon_Group","S005")</f>
        <v>S001</v>
      </c>
      <c r="N427" t="str" cm="1">
        <f t="array" ref="N427">_xlfn.IFS(E427="Electronics","P001", E427="MRO","P002", E427="Office Supplies","P003", E427="Packaging","P004", E427="Raw Materials","P005")</f>
        <v>P002</v>
      </c>
    </row>
    <row r="428" spans="1:14" x14ac:dyDescent="0.2">
      <c r="A428" s="1" t="s">
        <v>442</v>
      </c>
      <c r="B428" s="2" t="s">
        <v>12</v>
      </c>
      <c r="C428" s="3">
        <v>45014</v>
      </c>
      <c r="D428" s="3">
        <v>45034</v>
      </c>
      <c r="E428" s="2" t="s">
        <v>10</v>
      </c>
      <c r="F428" s="2" t="s">
        <v>22</v>
      </c>
      <c r="G428" s="2">
        <v>1743</v>
      </c>
      <c r="H428" s="2">
        <v>51.04</v>
      </c>
      <c r="I428" s="2">
        <v>47.15</v>
      </c>
      <c r="J428" s="2">
        <v>160</v>
      </c>
      <c r="K428" s="2" t="s">
        <v>4</v>
      </c>
      <c r="L428" s="2" t="str">
        <f t="shared" si="6"/>
        <v>Partially Delivered</v>
      </c>
      <c r="M428" t="str" cm="1">
        <f t="array" ref="M428">_xlfn.IFS(B428="Alpha_Inc","S001", B428="Delta_Logistics","S002", B428="Gamma_Co","S003", B428="Beta_Supplies","S004", B428="Epsilon_Group","S005")</f>
        <v>S004</v>
      </c>
      <c r="N428" t="str" cm="1">
        <f t="array" ref="N428">_xlfn.IFS(E428="Electronics","P001", E428="MRO","P002", E428="Office Supplies","P003", E428="Packaging","P004", E428="Raw Materials","P005")</f>
        <v>P002</v>
      </c>
    </row>
    <row r="429" spans="1:14" x14ac:dyDescent="0.2">
      <c r="A429" s="4" t="s">
        <v>443</v>
      </c>
      <c r="B429" s="5" t="s">
        <v>1</v>
      </c>
      <c r="C429" s="6">
        <v>45126</v>
      </c>
      <c r="D429" s="6">
        <v>45138</v>
      </c>
      <c r="E429" s="5" t="s">
        <v>15</v>
      </c>
      <c r="F429" s="5" t="s">
        <v>7</v>
      </c>
      <c r="G429" s="5">
        <v>87</v>
      </c>
      <c r="H429" s="5">
        <v>100.65</v>
      </c>
      <c r="I429" s="5">
        <v>85.56</v>
      </c>
      <c r="J429" s="5">
        <v>1</v>
      </c>
      <c r="K429" s="5" t="s">
        <v>4</v>
      </c>
      <c r="L429" s="5" t="str">
        <f t="shared" si="6"/>
        <v>Delivered</v>
      </c>
      <c r="M429" t="str" cm="1">
        <f t="array" ref="M429">_xlfn.IFS(B429="Alpha_Inc","S001", B429="Delta_Logistics","S002", B429="Gamma_Co","S003", B429="Beta_Supplies","S004", B429="Epsilon_Group","S005")</f>
        <v>S001</v>
      </c>
      <c r="N429" t="str" cm="1">
        <f t="array" ref="N429">_xlfn.IFS(E429="Electronics","P001", E429="MRO","P002", E429="Office Supplies","P003", E429="Packaging","P004", E429="Raw Materials","P005")</f>
        <v>P005</v>
      </c>
    </row>
    <row r="430" spans="1:14" x14ac:dyDescent="0.2">
      <c r="A430" s="1" t="s">
        <v>444</v>
      </c>
      <c r="B430" s="2" t="s">
        <v>12</v>
      </c>
      <c r="C430" s="3">
        <v>45284</v>
      </c>
      <c r="D430" s="3">
        <f>Table1[[#This Row],[Order_Date]]+14</f>
        <v>45298</v>
      </c>
      <c r="E430" s="2" t="s">
        <v>15</v>
      </c>
      <c r="F430" s="2" t="s">
        <v>7</v>
      </c>
      <c r="G430" s="2">
        <v>279</v>
      </c>
      <c r="H430" s="2">
        <v>47.52</v>
      </c>
      <c r="I430" s="2">
        <v>46.5</v>
      </c>
      <c r="J430" s="2">
        <v>28</v>
      </c>
      <c r="K430" s="2" t="s">
        <v>16</v>
      </c>
      <c r="L430" s="2" t="str">
        <f t="shared" si="6"/>
        <v>Delivered</v>
      </c>
      <c r="M430" t="str" cm="1">
        <f t="array" ref="M430">_xlfn.IFS(B430="Alpha_Inc","S001", B430="Delta_Logistics","S002", B430="Gamma_Co","S003", B430="Beta_Supplies","S004", B430="Epsilon_Group","S005")</f>
        <v>S004</v>
      </c>
      <c r="N430" t="str" cm="1">
        <f t="array" ref="N430">_xlfn.IFS(E430="Electronics","P001", E430="MRO","P002", E430="Office Supplies","P003", E430="Packaging","P004", E430="Raw Materials","P005")</f>
        <v>P005</v>
      </c>
    </row>
    <row r="431" spans="1:14" x14ac:dyDescent="0.2">
      <c r="A431" s="4" t="s">
        <v>445</v>
      </c>
      <c r="B431" s="5" t="s">
        <v>6</v>
      </c>
      <c r="C431" s="6">
        <v>44999</v>
      </c>
      <c r="D431" s="6">
        <v>45010</v>
      </c>
      <c r="E431" s="5" t="s">
        <v>15</v>
      </c>
      <c r="F431" s="5" t="s">
        <v>7</v>
      </c>
      <c r="G431" s="5">
        <v>1438</v>
      </c>
      <c r="H431" s="5">
        <v>66.61</v>
      </c>
      <c r="I431" s="5">
        <v>58.5</v>
      </c>
      <c r="J431" s="5">
        <v>237</v>
      </c>
      <c r="K431" s="5" t="s">
        <v>4</v>
      </c>
      <c r="L431" s="5" t="str">
        <f t="shared" si="6"/>
        <v>Delivered</v>
      </c>
      <c r="M431" t="str" cm="1">
        <f t="array" ref="M431">_xlfn.IFS(B431="Alpha_Inc","S001", B431="Delta_Logistics","S002", B431="Gamma_Co","S003", B431="Beta_Supplies","S004", B431="Epsilon_Group","S005")</f>
        <v>S002</v>
      </c>
      <c r="N431" t="str" cm="1">
        <f t="array" ref="N431">_xlfn.IFS(E431="Electronics","P001", E431="MRO","P002", E431="Office Supplies","P003", E431="Packaging","P004", E431="Raw Materials","P005")</f>
        <v>P005</v>
      </c>
    </row>
    <row r="432" spans="1:14" x14ac:dyDescent="0.2">
      <c r="A432" s="1" t="s">
        <v>446</v>
      </c>
      <c r="B432" s="2" t="s">
        <v>6</v>
      </c>
      <c r="C432" s="3">
        <v>45136</v>
      </c>
      <c r="D432" s="3">
        <v>45138</v>
      </c>
      <c r="E432" s="2" t="s">
        <v>2</v>
      </c>
      <c r="F432" s="2" t="s">
        <v>22</v>
      </c>
      <c r="G432" s="2">
        <v>612</v>
      </c>
      <c r="H432" s="2">
        <v>72.930000000000007</v>
      </c>
      <c r="I432" s="2">
        <v>63.32</v>
      </c>
      <c r="J432" s="2">
        <v>99</v>
      </c>
      <c r="K432" s="2" t="s">
        <v>4</v>
      </c>
      <c r="L432" s="2" t="str">
        <f t="shared" si="6"/>
        <v>Partially Delivered</v>
      </c>
      <c r="M432" t="str" cm="1">
        <f t="array" ref="M432">_xlfn.IFS(B432="Alpha_Inc","S001", B432="Delta_Logistics","S002", B432="Gamma_Co","S003", B432="Beta_Supplies","S004", B432="Epsilon_Group","S005")</f>
        <v>S002</v>
      </c>
      <c r="N432" t="str" cm="1">
        <f t="array" ref="N432">_xlfn.IFS(E432="Electronics","P001", E432="MRO","P002", E432="Office Supplies","P003", E432="Packaging","P004", E432="Raw Materials","P005")</f>
        <v>P003</v>
      </c>
    </row>
    <row r="433" spans="1:14" x14ac:dyDescent="0.2">
      <c r="A433" s="4" t="s">
        <v>447</v>
      </c>
      <c r="B433" s="5" t="s">
        <v>18</v>
      </c>
      <c r="C433" s="6">
        <v>44571</v>
      </c>
      <c r="D433" s="6">
        <v>44582</v>
      </c>
      <c r="E433" s="5" t="s">
        <v>13</v>
      </c>
      <c r="F433" s="5" t="s">
        <v>24</v>
      </c>
      <c r="G433" s="5">
        <v>487</v>
      </c>
      <c r="H433" s="5">
        <v>11.18</v>
      </c>
      <c r="I433" s="5">
        <v>10.63</v>
      </c>
      <c r="J433" s="5">
        <v>15</v>
      </c>
      <c r="K433" s="5" t="s">
        <v>4</v>
      </c>
      <c r="L433" s="5" t="str">
        <f t="shared" si="6"/>
        <v>Pending</v>
      </c>
      <c r="M433" t="str" cm="1">
        <f t="array" ref="M433">_xlfn.IFS(B433="Alpha_Inc","S001", B433="Delta_Logistics","S002", B433="Gamma_Co","S003", B433="Beta_Supplies","S004", B433="Epsilon_Group","S005")</f>
        <v>S005</v>
      </c>
      <c r="N433" t="str" cm="1">
        <f t="array" ref="N433">_xlfn.IFS(E433="Electronics","P001", E433="MRO","P002", E433="Office Supplies","P003", E433="Packaging","P004", E433="Raw Materials","P005")</f>
        <v>P004</v>
      </c>
    </row>
    <row r="434" spans="1:14" x14ac:dyDescent="0.2">
      <c r="A434" s="1" t="s">
        <v>448</v>
      </c>
      <c r="B434" s="2" t="s">
        <v>18</v>
      </c>
      <c r="C434" s="3">
        <v>44676</v>
      </c>
      <c r="D434" s="3">
        <v>44680</v>
      </c>
      <c r="E434" s="2" t="s">
        <v>13</v>
      </c>
      <c r="F434" s="2" t="s">
        <v>22</v>
      </c>
      <c r="G434" s="2">
        <v>1849</v>
      </c>
      <c r="H434" s="2">
        <v>70.760000000000005</v>
      </c>
      <c r="I434" s="2">
        <v>69.25</v>
      </c>
      <c r="J434" s="2">
        <v>51</v>
      </c>
      <c r="K434" s="2" t="s">
        <v>4</v>
      </c>
      <c r="L434" s="2" t="str">
        <f t="shared" si="6"/>
        <v>Partially Delivered</v>
      </c>
      <c r="M434" t="str" cm="1">
        <f t="array" ref="M434">_xlfn.IFS(B434="Alpha_Inc","S001", B434="Delta_Logistics","S002", B434="Gamma_Co","S003", B434="Beta_Supplies","S004", B434="Epsilon_Group","S005")</f>
        <v>S005</v>
      </c>
      <c r="N434" t="str" cm="1">
        <f t="array" ref="N434">_xlfn.IFS(E434="Electronics","P001", E434="MRO","P002", E434="Office Supplies","P003", E434="Packaging","P004", E434="Raw Materials","P005")</f>
        <v>P004</v>
      </c>
    </row>
    <row r="435" spans="1:14" x14ac:dyDescent="0.2">
      <c r="A435" s="4" t="s">
        <v>449</v>
      </c>
      <c r="B435" s="5" t="s">
        <v>18</v>
      </c>
      <c r="C435" s="6">
        <v>44639</v>
      </c>
      <c r="D435" s="6">
        <v>44652</v>
      </c>
      <c r="E435" s="5" t="s">
        <v>10</v>
      </c>
      <c r="F435" s="5" t="s">
        <v>22</v>
      </c>
      <c r="G435" s="5">
        <v>1356</v>
      </c>
      <c r="H435" s="5">
        <v>26.28</v>
      </c>
      <c r="I435" s="5">
        <v>25.44</v>
      </c>
      <c r="J435" s="5">
        <v>47</v>
      </c>
      <c r="K435" s="5" t="s">
        <v>4</v>
      </c>
      <c r="L435" s="5" t="str">
        <f t="shared" si="6"/>
        <v>Partially Delivered</v>
      </c>
      <c r="M435" t="str" cm="1">
        <f t="array" ref="M435">_xlfn.IFS(B435="Alpha_Inc","S001", B435="Delta_Logistics","S002", B435="Gamma_Co","S003", B435="Beta_Supplies","S004", B435="Epsilon_Group","S005")</f>
        <v>S005</v>
      </c>
      <c r="N435" t="str" cm="1">
        <f t="array" ref="N435">_xlfn.IFS(E435="Electronics","P001", E435="MRO","P002", E435="Office Supplies","P003", E435="Packaging","P004", E435="Raw Materials","P005")</f>
        <v>P002</v>
      </c>
    </row>
    <row r="436" spans="1:14" x14ac:dyDescent="0.2">
      <c r="A436" s="1" t="s">
        <v>450</v>
      </c>
      <c r="B436" s="2" t="s">
        <v>6</v>
      </c>
      <c r="C436" s="3">
        <v>45269</v>
      </c>
      <c r="D436" s="3">
        <v>45289</v>
      </c>
      <c r="E436" s="2" t="s">
        <v>15</v>
      </c>
      <c r="F436" s="2" t="s">
        <v>7</v>
      </c>
      <c r="G436" s="2">
        <v>76</v>
      </c>
      <c r="H436" s="2">
        <v>107.59</v>
      </c>
      <c r="I436" s="2">
        <v>96.33</v>
      </c>
      <c r="J436" s="2">
        <v>10</v>
      </c>
      <c r="K436" s="2" t="s">
        <v>4</v>
      </c>
      <c r="L436" s="2" t="str">
        <f t="shared" si="6"/>
        <v>Delivered</v>
      </c>
      <c r="M436" t="str" cm="1">
        <f t="array" ref="M436">_xlfn.IFS(B436="Alpha_Inc","S001", B436="Delta_Logistics","S002", B436="Gamma_Co","S003", B436="Beta_Supplies","S004", B436="Epsilon_Group","S005")</f>
        <v>S002</v>
      </c>
      <c r="N436" t="str" cm="1">
        <f t="array" ref="N436">_xlfn.IFS(E436="Electronics","P001", E436="MRO","P002", E436="Office Supplies","P003", E436="Packaging","P004", E436="Raw Materials","P005")</f>
        <v>P005</v>
      </c>
    </row>
    <row r="437" spans="1:14" x14ac:dyDescent="0.2">
      <c r="A437" s="4" t="s">
        <v>451</v>
      </c>
      <c r="B437" s="5" t="s">
        <v>1</v>
      </c>
      <c r="C437" s="6">
        <v>44714</v>
      </c>
      <c r="D437" s="6">
        <v>44725</v>
      </c>
      <c r="E437" s="5" t="s">
        <v>13</v>
      </c>
      <c r="F437" s="5" t="s">
        <v>22</v>
      </c>
      <c r="G437" s="5">
        <v>275</v>
      </c>
      <c r="H437" s="5">
        <v>23.96</v>
      </c>
      <c r="I437" s="5">
        <v>20.440000000000001</v>
      </c>
      <c r="J437" s="5">
        <v>0</v>
      </c>
      <c r="K437" s="5" t="s">
        <v>4</v>
      </c>
      <c r="L437" s="5" t="str">
        <f t="shared" si="6"/>
        <v>Partially Delivered</v>
      </c>
      <c r="M437" t="str" cm="1">
        <f t="array" ref="M437">_xlfn.IFS(B437="Alpha_Inc","S001", B437="Delta_Logistics","S002", B437="Gamma_Co","S003", B437="Beta_Supplies","S004", B437="Epsilon_Group","S005")</f>
        <v>S001</v>
      </c>
      <c r="N437" t="str" cm="1">
        <f t="array" ref="N437">_xlfn.IFS(E437="Electronics","P001", E437="MRO","P002", E437="Office Supplies","P003", E437="Packaging","P004", E437="Raw Materials","P005")</f>
        <v>P004</v>
      </c>
    </row>
    <row r="438" spans="1:14" x14ac:dyDescent="0.2">
      <c r="A438" s="1" t="s">
        <v>452</v>
      </c>
      <c r="B438" s="2" t="s">
        <v>1</v>
      </c>
      <c r="C438" s="3">
        <v>45120</v>
      </c>
      <c r="D438" s="3">
        <v>45125</v>
      </c>
      <c r="E438" s="2" t="s">
        <v>13</v>
      </c>
      <c r="F438" s="2" t="s">
        <v>7</v>
      </c>
      <c r="G438" s="2">
        <v>1350</v>
      </c>
      <c r="H438" s="2">
        <v>51.57</v>
      </c>
      <c r="I438" s="2">
        <v>48.07</v>
      </c>
      <c r="J438" s="2">
        <v>0</v>
      </c>
      <c r="K438" s="2" t="s">
        <v>4</v>
      </c>
      <c r="L438" s="2" t="str">
        <f t="shared" si="6"/>
        <v>Delivered</v>
      </c>
      <c r="M438" t="str" cm="1">
        <f t="array" ref="M438">_xlfn.IFS(B438="Alpha_Inc","S001", B438="Delta_Logistics","S002", B438="Gamma_Co","S003", B438="Beta_Supplies","S004", B438="Epsilon_Group","S005")</f>
        <v>S001</v>
      </c>
      <c r="N438" t="str" cm="1">
        <f t="array" ref="N438">_xlfn.IFS(E438="Electronics","P001", E438="MRO","P002", E438="Office Supplies","P003", E438="Packaging","P004", E438="Raw Materials","P005")</f>
        <v>P004</v>
      </c>
    </row>
    <row r="439" spans="1:14" x14ac:dyDescent="0.2">
      <c r="A439" s="4" t="s">
        <v>453</v>
      </c>
      <c r="B439" s="5" t="s">
        <v>1</v>
      </c>
      <c r="C439" s="6">
        <v>44598</v>
      </c>
      <c r="D439" s="6">
        <f>Table1[[#This Row],[Order_Date]]+14</f>
        <v>44612</v>
      </c>
      <c r="E439" s="5" t="s">
        <v>10</v>
      </c>
      <c r="F439" s="5" t="s">
        <v>7</v>
      </c>
      <c r="G439" s="5">
        <v>847</v>
      </c>
      <c r="H439" s="5">
        <v>17.77</v>
      </c>
      <c r="I439" s="5">
        <v>17.39</v>
      </c>
      <c r="J439" s="5">
        <v>0</v>
      </c>
      <c r="K439" s="5" t="s">
        <v>4</v>
      </c>
      <c r="L439" s="5" t="str">
        <f t="shared" si="6"/>
        <v>Delivered</v>
      </c>
      <c r="M439" t="str" cm="1">
        <f t="array" ref="M439">_xlfn.IFS(B439="Alpha_Inc","S001", B439="Delta_Logistics","S002", B439="Gamma_Co","S003", B439="Beta_Supplies","S004", B439="Epsilon_Group","S005")</f>
        <v>S001</v>
      </c>
      <c r="N439" t="str" cm="1">
        <f t="array" ref="N439">_xlfn.IFS(E439="Electronics","P001", E439="MRO","P002", E439="Office Supplies","P003", E439="Packaging","P004", E439="Raw Materials","P005")</f>
        <v>P002</v>
      </c>
    </row>
    <row r="440" spans="1:14" x14ac:dyDescent="0.2">
      <c r="A440" s="1" t="s">
        <v>454</v>
      </c>
      <c r="B440" s="2" t="s">
        <v>9</v>
      </c>
      <c r="C440" s="3">
        <v>44940</v>
      </c>
      <c r="D440" s="3">
        <v>44953</v>
      </c>
      <c r="E440" s="2" t="s">
        <v>10</v>
      </c>
      <c r="F440" s="2" t="s">
        <v>7</v>
      </c>
      <c r="G440" s="2">
        <v>1682</v>
      </c>
      <c r="H440" s="2">
        <v>105.7</v>
      </c>
      <c r="I440" s="2">
        <v>101.3</v>
      </c>
      <c r="J440" s="2">
        <v>94</v>
      </c>
      <c r="K440" s="2" t="s">
        <v>4</v>
      </c>
      <c r="L440" s="2" t="str">
        <f t="shared" si="6"/>
        <v>Delivered</v>
      </c>
      <c r="M440" t="str" cm="1">
        <f t="array" ref="M440">_xlfn.IFS(B440="Alpha_Inc","S001", B440="Delta_Logistics","S002", B440="Gamma_Co","S003", B440="Beta_Supplies","S004", B440="Epsilon_Group","S005")</f>
        <v>S003</v>
      </c>
      <c r="N440" t="str" cm="1">
        <f t="array" ref="N440">_xlfn.IFS(E440="Electronics","P001", E440="MRO","P002", E440="Office Supplies","P003", E440="Packaging","P004", E440="Raw Materials","P005")</f>
        <v>P002</v>
      </c>
    </row>
    <row r="441" spans="1:14" x14ac:dyDescent="0.2">
      <c r="A441" s="4" t="s">
        <v>455</v>
      </c>
      <c r="B441" s="5" t="s">
        <v>18</v>
      </c>
      <c r="C441" s="6">
        <v>45158</v>
      </c>
      <c r="D441" s="6">
        <v>45161</v>
      </c>
      <c r="E441" s="5" t="s">
        <v>28</v>
      </c>
      <c r="F441" s="5" t="s">
        <v>7</v>
      </c>
      <c r="G441" s="5">
        <v>333</v>
      </c>
      <c r="H441" s="5">
        <v>60.44</v>
      </c>
      <c r="I441" s="5">
        <v>58.54</v>
      </c>
      <c r="J441" s="5">
        <v>8</v>
      </c>
      <c r="K441" s="5" t="s">
        <v>4</v>
      </c>
      <c r="L441" s="5" t="str">
        <f t="shared" si="6"/>
        <v>Delivered</v>
      </c>
      <c r="M441" t="str" cm="1">
        <f t="array" ref="M441">_xlfn.IFS(B441="Alpha_Inc","S001", B441="Delta_Logistics","S002", B441="Gamma_Co","S003", B441="Beta_Supplies","S004", B441="Epsilon_Group","S005")</f>
        <v>S005</v>
      </c>
      <c r="N441" t="str" cm="1">
        <f t="array" ref="N441">_xlfn.IFS(E441="Electronics","P001", E441="MRO","P002", E441="Office Supplies","P003", E441="Packaging","P004", E441="Raw Materials","P005")</f>
        <v>P001</v>
      </c>
    </row>
    <row r="442" spans="1:14" x14ac:dyDescent="0.2">
      <c r="A442" s="1" t="s">
        <v>456</v>
      </c>
      <c r="B442" s="2" t="s">
        <v>1</v>
      </c>
      <c r="C442" s="3">
        <v>45127</v>
      </c>
      <c r="D442" s="3">
        <v>45140</v>
      </c>
      <c r="E442" s="2" t="s">
        <v>28</v>
      </c>
      <c r="F442" s="2" t="s">
        <v>3</v>
      </c>
      <c r="G442" s="2">
        <v>928</v>
      </c>
      <c r="H442" s="2">
        <v>69.31</v>
      </c>
      <c r="I442" s="2">
        <v>67.260000000000005</v>
      </c>
      <c r="J442" s="2">
        <v>20</v>
      </c>
      <c r="K442" s="2" t="s">
        <v>4</v>
      </c>
      <c r="L442" s="2" t="str">
        <f t="shared" si="6"/>
        <v>Cancelled</v>
      </c>
      <c r="M442" t="str" cm="1">
        <f t="array" ref="M442">_xlfn.IFS(B442="Alpha_Inc","S001", B442="Delta_Logistics","S002", B442="Gamma_Co","S003", B442="Beta_Supplies","S004", B442="Epsilon_Group","S005")</f>
        <v>S001</v>
      </c>
      <c r="N442" t="str" cm="1">
        <f t="array" ref="N442">_xlfn.IFS(E442="Electronics","P001", E442="MRO","P002", E442="Office Supplies","P003", E442="Packaging","P004", E442="Raw Materials","P005")</f>
        <v>P001</v>
      </c>
    </row>
    <row r="443" spans="1:14" x14ac:dyDescent="0.2">
      <c r="A443" s="4" t="s">
        <v>457</v>
      </c>
      <c r="B443" s="5" t="s">
        <v>18</v>
      </c>
      <c r="C443" s="6">
        <v>44713</v>
      </c>
      <c r="D443" s="6">
        <v>44724</v>
      </c>
      <c r="E443" s="5" t="s">
        <v>10</v>
      </c>
      <c r="F443" s="5" t="s">
        <v>22</v>
      </c>
      <c r="G443" s="5">
        <v>1009</v>
      </c>
      <c r="H443" s="5">
        <v>16.440000000000001</v>
      </c>
      <c r="I443" s="5">
        <v>16.18</v>
      </c>
      <c r="J443" s="5">
        <v>0</v>
      </c>
      <c r="K443" s="5" t="s">
        <v>4</v>
      </c>
      <c r="L443" s="5" t="str">
        <f t="shared" si="6"/>
        <v>Partially Delivered</v>
      </c>
      <c r="M443" t="str" cm="1">
        <f t="array" ref="M443">_xlfn.IFS(B443="Alpha_Inc","S001", B443="Delta_Logistics","S002", B443="Gamma_Co","S003", B443="Beta_Supplies","S004", B443="Epsilon_Group","S005")</f>
        <v>S005</v>
      </c>
      <c r="N443" t="str" cm="1">
        <f t="array" ref="N443">_xlfn.IFS(E443="Electronics","P001", E443="MRO","P002", E443="Office Supplies","P003", E443="Packaging","P004", E443="Raw Materials","P005")</f>
        <v>P002</v>
      </c>
    </row>
    <row r="444" spans="1:14" x14ac:dyDescent="0.2">
      <c r="A444" s="1" t="s">
        <v>458</v>
      </c>
      <c r="B444" s="2" t="s">
        <v>18</v>
      </c>
      <c r="C444" s="3">
        <v>45002</v>
      </c>
      <c r="D444" s="3">
        <v>45019</v>
      </c>
      <c r="E444" s="2" t="s">
        <v>28</v>
      </c>
      <c r="F444" s="2" t="s">
        <v>24</v>
      </c>
      <c r="G444" s="2">
        <v>1554</v>
      </c>
      <c r="H444" s="2">
        <v>82.92</v>
      </c>
      <c r="I444" s="2">
        <v>74.819999999999993</v>
      </c>
      <c r="J444" s="2">
        <v>44</v>
      </c>
      <c r="K444" s="2" t="s">
        <v>4</v>
      </c>
      <c r="L444" s="2" t="str">
        <f t="shared" si="6"/>
        <v>Pending</v>
      </c>
      <c r="M444" t="str" cm="1">
        <f t="array" ref="M444">_xlfn.IFS(B444="Alpha_Inc","S001", B444="Delta_Logistics","S002", B444="Gamma_Co","S003", B444="Beta_Supplies","S004", B444="Epsilon_Group","S005")</f>
        <v>S005</v>
      </c>
      <c r="N444" t="str" cm="1">
        <f t="array" ref="N444">_xlfn.IFS(E444="Electronics","P001", E444="MRO","P002", E444="Office Supplies","P003", E444="Packaging","P004", E444="Raw Materials","P005")</f>
        <v>P001</v>
      </c>
    </row>
    <row r="445" spans="1:14" x14ac:dyDescent="0.2">
      <c r="A445" s="4" t="s">
        <v>459</v>
      </c>
      <c r="B445" s="5" t="s">
        <v>9</v>
      </c>
      <c r="C445" s="6">
        <v>44692</v>
      </c>
      <c r="D445" s="6">
        <v>44706</v>
      </c>
      <c r="E445" s="5" t="s">
        <v>13</v>
      </c>
      <c r="F445" s="5" t="s">
        <v>22</v>
      </c>
      <c r="G445" s="5">
        <v>502</v>
      </c>
      <c r="H445" s="5">
        <v>29.47</v>
      </c>
      <c r="I445" s="5">
        <v>28.94</v>
      </c>
      <c r="J445" s="5">
        <v>27</v>
      </c>
      <c r="K445" s="5" t="s">
        <v>4</v>
      </c>
      <c r="L445" s="5" t="str">
        <f t="shared" si="6"/>
        <v>Partially Delivered</v>
      </c>
      <c r="M445" t="str" cm="1">
        <f t="array" ref="M445">_xlfn.IFS(B445="Alpha_Inc","S001", B445="Delta_Logistics","S002", B445="Gamma_Co","S003", B445="Beta_Supplies","S004", B445="Epsilon_Group","S005")</f>
        <v>S003</v>
      </c>
      <c r="N445" t="str" cm="1">
        <f t="array" ref="N445">_xlfn.IFS(E445="Electronics","P001", E445="MRO","P002", E445="Office Supplies","P003", E445="Packaging","P004", E445="Raw Materials","P005")</f>
        <v>P004</v>
      </c>
    </row>
    <row r="446" spans="1:14" x14ac:dyDescent="0.2">
      <c r="A446" s="1" t="s">
        <v>460</v>
      </c>
      <c r="B446" s="2" t="s">
        <v>6</v>
      </c>
      <c r="C446" s="3">
        <v>44604</v>
      </c>
      <c r="D446" s="3">
        <v>44605</v>
      </c>
      <c r="E446" s="2" t="s">
        <v>10</v>
      </c>
      <c r="F446" s="2" t="s">
        <v>7</v>
      </c>
      <c r="G446" s="2">
        <v>1069</v>
      </c>
      <c r="H446" s="2">
        <v>91.28</v>
      </c>
      <c r="I446" s="2">
        <v>82.64</v>
      </c>
      <c r="J446" s="2">
        <v>0</v>
      </c>
      <c r="K446" s="2" t="s">
        <v>4</v>
      </c>
      <c r="L446" s="2" t="str">
        <f t="shared" si="6"/>
        <v>Delivered</v>
      </c>
      <c r="M446" t="str" cm="1">
        <f t="array" ref="M446">_xlfn.IFS(B446="Alpha_Inc","S001", B446="Delta_Logistics","S002", B446="Gamma_Co","S003", B446="Beta_Supplies","S004", B446="Epsilon_Group","S005")</f>
        <v>S002</v>
      </c>
      <c r="N446" t="str" cm="1">
        <f t="array" ref="N446">_xlfn.IFS(E446="Electronics","P001", E446="MRO","P002", E446="Office Supplies","P003", E446="Packaging","P004", E446="Raw Materials","P005")</f>
        <v>P002</v>
      </c>
    </row>
    <row r="447" spans="1:14" x14ac:dyDescent="0.2">
      <c r="A447" s="4" t="s">
        <v>461</v>
      </c>
      <c r="B447" s="5" t="s">
        <v>1</v>
      </c>
      <c r="C447" s="6">
        <v>44877</v>
      </c>
      <c r="D447" s="6">
        <v>44883</v>
      </c>
      <c r="E447" s="5" t="s">
        <v>10</v>
      </c>
      <c r="F447" s="5" t="s">
        <v>24</v>
      </c>
      <c r="G447" s="5">
        <v>1902</v>
      </c>
      <c r="H447" s="5">
        <v>29.89</v>
      </c>
      <c r="I447" s="5">
        <v>25.83</v>
      </c>
      <c r="J447" s="5">
        <v>41</v>
      </c>
      <c r="K447" s="5" t="s">
        <v>4</v>
      </c>
      <c r="L447" s="5" t="str">
        <f t="shared" si="6"/>
        <v>Pending</v>
      </c>
      <c r="M447" t="str" cm="1">
        <f t="array" ref="M447">_xlfn.IFS(B447="Alpha_Inc","S001", B447="Delta_Logistics","S002", B447="Gamma_Co","S003", B447="Beta_Supplies","S004", B447="Epsilon_Group","S005")</f>
        <v>S001</v>
      </c>
      <c r="N447" t="str" cm="1">
        <f t="array" ref="N447">_xlfn.IFS(E447="Electronics","P001", E447="MRO","P002", E447="Office Supplies","P003", E447="Packaging","P004", E447="Raw Materials","P005")</f>
        <v>P002</v>
      </c>
    </row>
    <row r="448" spans="1:14" x14ac:dyDescent="0.2">
      <c r="A448" s="1" t="s">
        <v>462</v>
      </c>
      <c r="B448" s="2" t="s">
        <v>9</v>
      </c>
      <c r="C448" s="3">
        <v>44935</v>
      </c>
      <c r="D448" s="3">
        <f>Table1[[#This Row],[Order_Date]]+14</f>
        <v>44949</v>
      </c>
      <c r="E448" s="2" t="s">
        <v>15</v>
      </c>
      <c r="F448" s="2" t="s">
        <v>24</v>
      </c>
      <c r="G448" s="2">
        <v>865</v>
      </c>
      <c r="H448" s="2">
        <v>28.79</v>
      </c>
      <c r="I448" s="2">
        <v>25.69</v>
      </c>
      <c r="J448" s="2">
        <v>47</v>
      </c>
      <c r="K448" s="2" t="s">
        <v>4</v>
      </c>
      <c r="L448" s="2" t="str">
        <f t="shared" si="6"/>
        <v>Pending</v>
      </c>
      <c r="M448" t="str" cm="1">
        <f t="array" ref="M448">_xlfn.IFS(B448="Alpha_Inc","S001", B448="Delta_Logistics","S002", B448="Gamma_Co","S003", B448="Beta_Supplies","S004", B448="Epsilon_Group","S005")</f>
        <v>S003</v>
      </c>
      <c r="N448" t="str" cm="1">
        <f t="array" ref="N448">_xlfn.IFS(E448="Electronics","P001", E448="MRO","P002", E448="Office Supplies","P003", E448="Packaging","P004", E448="Raw Materials","P005")</f>
        <v>P005</v>
      </c>
    </row>
    <row r="449" spans="1:14" x14ac:dyDescent="0.2">
      <c r="A449" s="4" t="s">
        <v>463</v>
      </c>
      <c r="B449" s="5" t="s">
        <v>6</v>
      </c>
      <c r="C449" s="6">
        <v>44602</v>
      </c>
      <c r="D449" s="6">
        <v>44618</v>
      </c>
      <c r="E449" s="5" t="s">
        <v>13</v>
      </c>
      <c r="F449" s="5" t="s">
        <v>22</v>
      </c>
      <c r="G449" s="5">
        <v>708</v>
      </c>
      <c r="H449" s="5">
        <v>13.36</v>
      </c>
      <c r="I449" s="5">
        <v>11.61</v>
      </c>
      <c r="J449" s="5">
        <v>0</v>
      </c>
      <c r="K449" s="5" t="s">
        <v>16</v>
      </c>
      <c r="L449" s="5" t="str">
        <f t="shared" si="6"/>
        <v>Partially Delivered</v>
      </c>
      <c r="M449" t="str" cm="1">
        <f t="array" ref="M449">_xlfn.IFS(B449="Alpha_Inc","S001", B449="Delta_Logistics","S002", B449="Gamma_Co","S003", B449="Beta_Supplies","S004", B449="Epsilon_Group","S005")</f>
        <v>S002</v>
      </c>
      <c r="N449" t="str" cm="1">
        <f t="array" ref="N449">_xlfn.IFS(E449="Electronics","P001", E449="MRO","P002", E449="Office Supplies","P003", E449="Packaging","P004", E449="Raw Materials","P005")</f>
        <v>P004</v>
      </c>
    </row>
    <row r="450" spans="1:14" x14ac:dyDescent="0.2">
      <c r="A450" s="1" t="s">
        <v>464</v>
      </c>
      <c r="B450" s="2" t="s">
        <v>6</v>
      </c>
      <c r="C450" s="3">
        <v>44928</v>
      </c>
      <c r="D450" s="3">
        <v>44933</v>
      </c>
      <c r="E450" s="2" t="s">
        <v>13</v>
      </c>
      <c r="F450" s="2" t="s">
        <v>7</v>
      </c>
      <c r="G450" s="2">
        <v>1589</v>
      </c>
      <c r="H450" s="2">
        <v>55.64</v>
      </c>
      <c r="I450" s="2">
        <v>48.52</v>
      </c>
      <c r="J450" s="2">
        <v>0</v>
      </c>
      <c r="K450" s="2" t="s">
        <v>4</v>
      </c>
      <c r="L450" s="2" t="str">
        <f t="shared" ref="L450:L513" si="7">IF(F450="Delivered", IF(E450="","Date Missing","Delivered"), F450)</f>
        <v>Delivered</v>
      </c>
      <c r="M450" t="str" cm="1">
        <f t="array" ref="M450">_xlfn.IFS(B450="Alpha_Inc","S001", B450="Delta_Logistics","S002", B450="Gamma_Co","S003", B450="Beta_Supplies","S004", B450="Epsilon_Group","S005")</f>
        <v>S002</v>
      </c>
      <c r="N450" t="str" cm="1">
        <f t="array" ref="N450">_xlfn.IFS(E450="Electronics","P001", E450="MRO","P002", E450="Office Supplies","P003", E450="Packaging","P004", E450="Raw Materials","P005")</f>
        <v>P004</v>
      </c>
    </row>
    <row r="451" spans="1:14" x14ac:dyDescent="0.2">
      <c r="A451" s="4" t="s">
        <v>465</v>
      </c>
      <c r="B451" s="5" t="s">
        <v>1</v>
      </c>
      <c r="C451" s="6">
        <v>44777</v>
      </c>
      <c r="D451" s="6">
        <v>44787</v>
      </c>
      <c r="E451" s="5" t="s">
        <v>2</v>
      </c>
      <c r="F451" s="5" t="s">
        <v>7</v>
      </c>
      <c r="G451" s="5">
        <v>596</v>
      </c>
      <c r="H451" s="5">
        <v>62.96</v>
      </c>
      <c r="I451" s="5">
        <v>61.88</v>
      </c>
      <c r="J451" s="5">
        <v>9</v>
      </c>
      <c r="K451" s="5" t="s">
        <v>4</v>
      </c>
      <c r="L451" s="5" t="str">
        <f t="shared" si="7"/>
        <v>Delivered</v>
      </c>
      <c r="M451" t="str" cm="1">
        <f t="array" ref="M451">_xlfn.IFS(B451="Alpha_Inc","S001", B451="Delta_Logistics","S002", B451="Gamma_Co","S003", B451="Beta_Supplies","S004", B451="Epsilon_Group","S005")</f>
        <v>S001</v>
      </c>
      <c r="N451" t="str" cm="1">
        <f t="array" ref="N451">_xlfn.IFS(E451="Electronics","P001", E451="MRO","P002", E451="Office Supplies","P003", E451="Packaging","P004", E451="Raw Materials","P005")</f>
        <v>P003</v>
      </c>
    </row>
    <row r="452" spans="1:14" x14ac:dyDescent="0.2">
      <c r="A452" s="1" t="s">
        <v>466</v>
      </c>
      <c r="B452" s="2" t="s">
        <v>18</v>
      </c>
      <c r="C452" s="3">
        <v>45260</v>
      </c>
      <c r="D452" s="3">
        <v>45264</v>
      </c>
      <c r="E452" s="2" t="s">
        <v>2</v>
      </c>
      <c r="F452" s="2" t="s">
        <v>7</v>
      </c>
      <c r="G452" s="2">
        <v>1265</v>
      </c>
      <c r="H452" s="2">
        <v>17.66</v>
      </c>
      <c r="I452" s="2">
        <v>16.97</v>
      </c>
      <c r="J452" s="2">
        <v>34</v>
      </c>
      <c r="K452" s="2" t="s">
        <v>4</v>
      </c>
      <c r="L452" s="2" t="str">
        <f t="shared" si="7"/>
        <v>Delivered</v>
      </c>
      <c r="M452" t="str" cm="1">
        <f t="array" ref="M452">_xlfn.IFS(B452="Alpha_Inc","S001", B452="Delta_Logistics","S002", B452="Gamma_Co","S003", B452="Beta_Supplies","S004", B452="Epsilon_Group","S005")</f>
        <v>S005</v>
      </c>
      <c r="N452" t="str" cm="1">
        <f t="array" ref="N452">_xlfn.IFS(E452="Electronics","P001", E452="MRO","P002", E452="Office Supplies","P003", E452="Packaging","P004", E452="Raw Materials","P005")</f>
        <v>P003</v>
      </c>
    </row>
    <row r="453" spans="1:14" x14ac:dyDescent="0.2">
      <c r="A453" s="4" t="s">
        <v>467</v>
      </c>
      <c r="B453" s="5" t="s">
        <v>12</v>
      </c>
      <c r="C453" s="6">
        <v>44817</v>
      </c>
      <c r="D453" s="6">
        <v>44835</v>
      </c>
      <c r="E453" s="5" t="s">
        <v>15</v>
      </c>
      <c r="F453" s="5" t="s">
        <v>7</v>
      </c>
      <c r="G453" s="5">
        <v>1122</v>
      </c>
      <c r="H453" s="5">
        <v>82.99</v>
      </c>
      <c r="I453" s="5">
        <v>81.7</v>
      </c>
      <c r="J453" s="5">
        <v>118</v>
      </c>
      <c r="K453" s="5" t="s">
        <v>16</v>
      </c>
      <c r="L453" s="5" t="str">
        <f t="shared" si="7"/>
        <v>Delivered</v>
      </c>
      <c r="M453" t="str" cm="1">
        <f t="array" ref="M453">_xlfn.IFS(B453="Alpha_Inc","S001", B453="Delta_Logistics","S002", B453="Gamma_Co","S003", B453="Beta_Supplies","S004", B453="Epsilon_Group","S005")</f>
        <v>S004</v>
      </c>
      <c r="N453" t="str" cm="1">
        <f t="array" ref="N453">_xlfn.IFS(E453="Electronics","P001", E453="MRO","P002", E453="Office Supplies","P003", E453="Packaging","P004", E453="Raw Materials","P005")</f>
        <v>P005</v>
      </c>
    </row>
    <row r="454" spans="1:14" x14ac:dyDescent="0.2">
      <c r="A454" s="1" t="s">
        <v>468</v>
      </c>
      <c r="B454" s="2" t="s">
        <v>18</v>
      </c>
      <c r="C454" s="3">
        <v>45244</v>
      </c>
      <c r="D454" s="3">
        <v>45261</v>
      </c>
      <c r="E454" s="2" t="s">
        <v>2</v>
      </c>
      <c r="F454" s="2" t="s">
        <v>7</v>
      </c>
      <c r="G454" s="2">
        <v>1585</v>
      </c>
      <c r="H454" s="2">
        <v>56.38</v>
      </c>
      <c r="I454" s="2">
        <v>53.05</v>
      </c>
      <c r="J454" s="2">
        <v>0</v>
      </c>
      <c r="K454" s="2" t="s">
        <v>4</v>
      </c>
      <c r="L454" s="2" t="str">
        <f t="shared" si="7"/>
        <v>Delivered</v>
      </c>
      <c r="M454" t="str" cm="1">
        <f t="array" ref="M454">_xlfn.IFS(B454="Alpha_Inc","S001", B454="Delta_Logistics","S002", B454="Gamma_Co","S003", B454="Beta_Supplies","S004", B454="Epsilon_Group","S005")</f>
        <v>S005</v>
      </c>
      <c r="N454" t="str" cm="1">
        <f t="array" ref="N454">_xlfn.IFS(E454="Electronics","P001", E454="MRO","P002", E454="Office Supplies","P003", E454="Packaging","P004", E454="Raw Materials","P005")</f>
        <v>P003</v>
      </c>
    </row>
    <row r="455" spans="1:14" x14ac:dyDescent="0.2">
      <c r="A455" s="4" t="s">
        <v>469</v>
      </c>
      <c r="B455" s="5" t="s">
        <v>18</v>
      </c>
      <c r="C455" s="6">
        <v>44667</v>
      </c>
      <c r="D455" s="6">
        <v>44678</v>
      </c>
      <c r="E455" s="5" t="s">
        <v>28</v>
      </c>
      <c r="F455" s="5" t="s">
        <v>7</v>
      </c>
      <c r="G455" s="5">
        <v>66</v>
      </c>
      <c r="H455" s="5">
        <v>58.05</v>
      </c>
      <c r="I455" s="5">
        <v>50.76</v>
      </c>
      <c r="J455" s="5">
        <v>0</v>
      </c>
      <c r="K455" s="5" t="s">
        <v>4</v>
      </c>
      <c r="L455" s="5" t="str">
        <f t="shared" si="7"/>
        <v>Delivered</v>
      </c>
      <c r="M455" t="str" cm="1">
        <f t="array" ref="M455">_xlfn.IFS(B455="Alpha_Inc","S001", B455="Delta_Logistics","S002", B455="Gamma_Co","S003", B455="Beta_Supplies","S004", B455="Epsilon_Group","S005")</f>
        <v>S005</v>
      </c>
      <c r="N455" t="str" cm="1">
        <f t="array" ref="N455">_xlfn.IFS(E455="Electronics","P001", E455="MRO","P002", E455="Office Supplies","P003", E455="Packaging","P004", E455="Raw Materials","P005")</f>
        <v>P001</v>
      </c>
    </row>
    <row r="456" spans="1:14" x14ac:dyDescent="0.2">
      <c r="A456" s="1" t="s">
        <v>470</v>
      </c>
      <c r="B456" s="2" t="s">
        <v>12</v>
      </c>
      <c r="C456" s="3">
        <v>44924</v>
      </c>
      <c r="D456" s="3">
        <v>44944</v>
      </c>
      <c r="E456" s="2" t="s">
        <v>10</v>
      </c>
      <c r="F456" s="2" t="s">
        <v>7</v>
      </c>
      <c r="G456" s="2">
        <v>1245</v>
      </c>
      <c r="H456" s="2">
        <v>52.4</v>
      </c>
      <c r="I456" s="2">
        <v>51.65</v>
      </c>
      <c r="J456" s="2">
        <v>118</v>
      </c>
      <c r="K456" s="2" t="s">
        <v>16</v>
      </c>
      <c r="L456" s="2" t="str">
        <f t="shared" si="7"/>
        <v>Delivered</v>
      </c>
      <c r="M456" t="str" cm="1">
        <f t="array" ref="M456">_xlfn.IFS(B456="Alpha_Inc","S001", B456="Delta_Logistics","S002", B456="Gamma_Co","S003", B456="Beta_Supplies","S004", B456="Epsilon_Group","S005")</f>
        <v>S004</v>
      </c>
      <c r="N456" t="str" cm="1">
        <f t="array" ref="N456">_xlfn.IFS(E456="Electronics","P001", E456="MRO","P002", E456="Office Supplies","P003", E456="Packaging","P004", E456="Raw Materials","P005")</f>
        <v>P002</v>
      </c>
    </row>
    <row r="457" spans="1:14" x14ac:dyDescent="0.2">
      <c r="A457" s="4" t="s">
        <v>471</v>
      </c>
      <c r="B457" s="5" t="s">
        <v>6</v>
      </c>
      <c r="C457" s="6">
        <v>45135</v>
      </c>
      <c r="D457" s="6">
        <v>45148</v>
      </c>
      <c r="E457" s="5" t="s">
        <v>28</v>
      </c>
      <c r="F457" s="5" t="s">
        <v>7</v>
      </c>
      <c r="G457" s="5">
        <v>1293</v>
      </c>
      <c r="H457" s="5">
        <v>50.21</v>
      </c>
      <c r="I457" s="5">
        <v>47.55</v>
      </c>
      <c r="J457" s="5">
        <v>0</v>
      </c>
      <c r="K457" s="5" t="s">
        <v>16</v>
      </c>
      <c r="L457" s="5" t="str">
        <f t="shared" si="7"/>
        <v>Delivered</v>
      </c>
      <c r="M457" t="str" cm="1">
        <f t="array" ref="M457">_xlfn.IFS(B457="Alpha_Inc","S001", B457="Delta_Logistics","S002", B457="Gamma_Co","S003", B457="Beta_Supplies","S004", B457="Epsilon_Group","S005")</f>
        <v>S002</v>
      </c>
      <c r="N457" t="str" cm="1">
        <f t="array" ref="N457">_xlfn.IFS(E457="Electronics","P001", E457="MRO","P002", E457="Office Supplies","P003", E457="Packaging","P004", E457="Raw Materials","P005")</f>
        <v>P001</v>
      </c>
    </row>
    <row r="458" spans="1:14" x14ac:dyDescent="0.2">
      <c r="A458" s="1" t="s">
        <v>472</v>
      </c>
      <c r="B458" s="2" t="s">
        <v>12</v>
      </c>
      <c r="C458" s="3">
        <v>44978</v>
      </c>
      <c r="D458" s="3">
        <v>44984</v>
      </c>
      <c r="E458" s="2" t="s">
        <v>13</v>
      </c>
      <c r="F458" s="2" t="s">
        <v>7</v>
      </c>
      <c r="G458" s="2">
        <v>207</v>
      </c>
      <c r="H458" s="2">
        <v>64.290000000000006</v>
      </c>
      <c r="I458" s="2">
        <v>63.01</v>
      </c>
      <c r="J458" s="2">
        <v>25</v>
      </c>
      <c r="K458" s="2" t="s">
        <v>4</v>
      </c>
      <c r="L458" s="2" t="str">
        <f t="shared" si="7"/>
        <v>Delivered</v>
      </c>
      <c r="M458" t="str" cm="1">
        <f t="array" ref="M458">_xlfn.IFS(B458="Alpha_Inc","S001", B458="Delta_Logistics","S002", B458="Gamma_Co","S003", B458="Beta_Supplies","S004", B458="Epsilon_Group","S005")</f>
        <v>S004</v>
      </c>
      <c r="N458" t="str" cm="1">
        <f t="array" ref="N458">_xlfn.IFS(E458="Electronics","P001", E458="MRO","P002", E458="Office Supplies","P003", E458="Packaging","P004", E458="Raw Materials","P005")</f>
        <v>P004</v>
      </c>
    </row>
    <row r="459" spans="1:14" x14ac:dyDescent="0.2">
      <c r="A459" s="4" t="s">
        <v>473</v>
      </c>
      <c r="B459" s="5" t="s">
        <v>12</v>
      </c>
      <c r="C459" s="6">
        <v>45197</v>
      </c>
      <c r="D459" s="6">
        <v>45217</v>
      </c>
      <c r="E459" s="5" t="s">
        <v>2</v>
      </c>
      <c r="F459" s="5" t="s">
        <v>7</v>
      </c>
      <c r="G459" s="5">
        <v>526</v>
      </c>
      <c r="H459" s="5">
        <v>26.37</v>
      </c>
      <c r="I459" s="5">
        <v>25.32</v>
      </c>
      <c r="J459" s="5">
        <v>47</v>
      </c>
      <c r="K459" s="5" t="s">
        <v>4</v>
      </c>
      <c r="L459" s="5" t="str">
        <f t="shared" si="7"/>
        <v>Delivered</v>
      </c>
      <c r="M459" t="str" cm="1">
        <f t="array" ref="M459">_xlfn.IFS(B459="Alpha_Inc","S001", B459="Delta_Logistics","S002", B459="Gamma_Co","S003", B459="Beta_Supplies","S004", B459="Epsilon_Group","S005")</f>
        <v>S004</v>
      </c>
      <c r="N459" t="str" cm="1">
        <f t="array" ref="N459">_xlfn.IFS(E459="Electronics","P001", E459="MRO","P002", E459="Office Supplies","P003", E459="Packaging","P004", E459="Raw Materials","P005")</f>
        <v>P003</v>
      </c>
    </row>
    <row r="460" spans="1:14" x14ac:dyDescent="0.2">
      <c r="A460" s="1" t="s">
        <v>474</v>
      </c>
      <c r="B460" s="2" t="s">
        <v>9</v>
      </c>
      <c r="C460" s="3">
        <v>44720</v>
      </c>
      <c r="D460" s="3">
        <v>44726</v>
      </c>
      <c r="E460" s="2" t="s">
        <v>28</v>
      </c>
      <c r="F460" s="2" t="s">
        <v>7</v>
      </c>
      <c r="G460" s="2">
        <v>1119</v>
      </c>
      <c r="H460" s="2">
        <v>27.03</v>
      </c>
      <c r="I460" s="2">
        <v>23.82</v>
      </c>
      <c r="J460" s="2">
        <v>0</v>
      </c>
      <c r="K460" s="2" t="s">
        <v>4</v>
      </c>
      <c r="L460" s="2" t="str">
        <f t="shared" si="7"/>
        <v>Delivered</v>
      </c>
      <c r="M460" t="str" cm="1">
        <f t="array" ref="M460">_xlfn.IFS(B460="Alpha_Inc","S001", B460="Delta_Logistics","S002", B460="Gamma_Co","S003", B460="Beta_Supplies","S004", B460="Epsilon_Group","S005")</f>
        <v>S003</v>
      </c>
      <c r="N460" t="str" cm="1">
        <f t="array" ref="N460">_xlfn.IFS(E460="Electronics","P001", E460="MRO","P002", E460="Office Supplies","P003", E460="Packaging","P004", E460="Raw Materials","P005")</f>
        <v>P001</v>
      </c>
    </row>
    <row r="461" spans="1:14" x14ac:dyDescent="0.2">
      <c r="A461" s="4" t="s">
        <v>475</v>
      </c>
      <c r="B461" s="5" t="s">
        <v>9</v>
      </c>
      <c r="C461" s="6">
        <v>44804</v>
      </c>
      <c r="D461" s="6">
        <v>44806</v>
      </c>
      <c r="E461" s="5" t="s">
        <v>13</v>
      </c>
      <c r="F461" s="5" t="s">
        <v>7</v>
      </c>
      <c r="G461" s="5">
        <v>1446</v>
      </c>
      <c r="H461" s="5">
        <v>90.63</v>
      </c>
      <c r="I461" s="5">
        <v>84.51</v>
      </c>
      <c r="J461" s="5">
        <v>77</v>
      </c>
      <c r="K461" s="5" t="s">
        <v>4</v>
      </c>
      <c r="L461" s="5" t="str">
        <f t="shared" si="7"/>
        <v>Delivered</v>
      </c>
      <c r="M461" t="str" cm="1">
        <f t="array" ref="M461">_xlfn.IFS(B461="Alpha_Inc","S001", B461="Delta_Logistics","S002", B461="Gamma_Co","S003", B461="Beta_Supplies","S004", B461="Epsilon_Group","S005")</f>
        <v>S003</v>
      </c>
      <c r="N461" t="str" cm="1">
        <f t="array" ref="N461">_xlfn.IFS(E461="Electronics","P001", E461="MRO","P002", E461="Office Supplies","P003", E461="Packaging","P004", E461="Raw Materials","P005")</f>
        <v>P004</v>
      </c>
    </row>
    <row r="462" spans="1:14" x14ac:dyDescent="0.2">
      <c r="A462" s="1" t="s">
        <v>476</v>
      </c>
      <c r="B462" s="2" t="s">
        <v>9</v>
      </c>
      <c r="C462" s="3">
        <v>44728</v>
      </c>
      <c r="D462" s="3">
        <v>44736</v>
      </c>
      <c r="E462" s="2" t="s">
        <v>2</v>
      </c>
      <c r="F462" s="2" t="s">
        <v>7</v>
      </c>
      <c r="G462" s="2">
        <v>567</v>
      </c>
      <c r="H462" s="2">
        <v>97.53</v>
      </c>
      <c r="I462" s="2">
        <v>85.29</v>
      </c>
      <c r="J462" s="2">
        <v>21</v>
      </c>
      <c r="K462" s="2" t="s">
        <v>4</v>
      </c>
      <c r="L462" s="2" t="str">
        <f t="shared" si="7"/>
        <v>Delivered</v>
      </c>
      <c r="M462" t="str" cm="1">
        <f t="array" ref="M462">_xlfn.IFS(B462="Alpha_Inc","S001", B462="Delta_Logistics","S002", B462="Gamma_Co","S003", B462="Beta_Supplies","S004", B462="Epsilon_Group","S005")</f>
        <v>S003</v>
      </c>
      <c r="N462" t="str" cm="1">
        <f t="array" ref="N462">_xlfn.IFS(E462="Electronics","P001", E462="MRO","P002", E462="Office Supplies","P003", E462="Packaging","P004", E462="Raw Materials","P005")</f>
        <v>P003</v>
      </c>
    </row>
    <row r="463" spans="1:14" x14ac:dyDescent="0.2">
      <c r="A463" s="4" t="s">
        <v>477</v>
      </c>
      <c r="B463" s="5" t="s">
        <v>6</v>
      </c>
      <c r="C463" s="6">
        <v>44743</v>
      </c>
      <c r="D463" s="6">
        <f>Table1[[#This Row],[Order_Date]]+14</f>
        <v>44757</v>
      </c>
      <c r="E463" s="5" t="s">
        <v>10</v>
      </c>
      <c r="F463" s="5" t="s">
        <v>7</v>
      </c>
      <c r="G463" s="5">
        <v>148</v>
      </c>
      <c r="H463" s="5">
        <v>44.91</v>
      </c>
      <c r="I463" s="5">
        <v>40.1</v>
      </c>
      <c r="J463" s="5">
        <v>0</v>
      </c>
      <c r="K463" s="5" t="s">
        <v>16</v>
      </c>
      <c r="L463" s="5" t="str">
        <f t="shared" si="7"/>
        <v>Delivered</v>
      </c>
      <c r="M463" t="str" cm="1">
        <f t="array" ref="M463">_xlfn.IFS(B463="Alpha_Inc","S001", B463="Delta_Logistics","S002", B463="Gamma_Co","S003", B463="Beta_Supplies","S004", B463="Epsilon_Group","S005")</f>
        <v>S002</v>
      </c>
      <c r="N463" t="str" cm="1">
        <f t="array" ref="N463">_xlfn.IFS(E463="Electronics","P001", E463="MRO","P002", E463="Office Supplies","P003", E463="Packaging","P004", E463="Raw Materials","P005")</f>
        <v>P002</v>
      </c>
    </row>
    <row r="464" spans="1:14" x14ac:dyDescent="0.2">
      <c r="A464" s="1" t="s">
        <v>478</v>
      </c>
      <c r="B464" s="2" t="s">
        <v>12</v>
      </c>
      <c r="C464" s="3">
        <v>44984</v>
      </c>
      <c r="D464" s="3">
        <v>44999</v>
      </c>
      <c r="E464" s="2" t="s">
        <v>10</v>
      </c>
      <c r="F464" s="2" t="s">
        <v>24</v>
      </c>
      <c r="G464" s="2">
        <v>1965</v>
      </c>
      <c r="H464" s="2">
        <v>36.6</v>
      </c>
      <c r="I464" s="2">
        <v>34.64</v>
      </c>
      <c r="J464" s="2">
        <v>195</v>
      </c>
      <c r="K464" s="2" t="s">
        <v>4</v>
      </c>
      <c r="L464" s="2" t="str">
        <f t="shared" si="7"/>
        <v>Pending</v>
      </c>
      <c r="M464" t="str" cm="1">
        <f t="array" ref="M464">_xlfn.IFS(B464="Alpha_Inc","S001", B464="Delta_Logistics","S002", B464="Gamma_Co","S003", B464="Beta_Supplies","S004", B464="Epsilon_Group","S005")</f>
        <v>S004</v>
      </c>
      <c r="N464" t="str" cm="1">
        <f t="array" ref="N464">_xlfn.IFS(E464="Electronics","P001", E464="MRO","P002", E464="Office Supplies","P003", E464="Packaging","P004", E464="Raw Materials","P005")</f>
        <v>P002</v>
      </c>
    </row>
    <row r="465" spans="1:14" x14ac:dyDescent="0.2">
      <c r="A465" s="4" t="s">
        <v>479</v>
      </c>
      <c r="B465" s="5" t="s">
        <v>1</v>
      </c>
      <c r="C465" s="6">
        <v>44587</v>
      </c>
      <c r="D465" s="6">
        <v>44595</v>
      </c>
      <c r="E465" s="5" t="s">
        <v>2</v>
      </c>
      <c r="F465" s="5" t="s">
        <v>24</v>
      </c>
      <c r="G465" s="5">
        <v>1818</v>
      </c>
      <c r="H465" s="5">
        <v>67.959999999999994</v>
      </c>
      <c r="I465" s="5">
        <v>58.98</v>
      </c>
      <c r="J465" s="5">
        <v>0</v>
      </c>
      <c r="K465" s="5" t="s">
        <v>4</v>
      </c>
      <c r="L465" s="5" t="str">
        <f t="shared" si="7"/>
        <v>Pending</v>
      </c>
      <c r="M465" t="str" cm="1">
        <f t="array" ref="M465">_xlfn.IFS(B465="Alpha_Inc","S001", B465="Delta_Logistics","S002", B465="Gamma_Co","S003", B465="Beta_Supplies","S004", B465="Epsilon_Group","S005")</f>
        <v>S001</v>
      </c>
      <c r="N465" t="str" cm="1">
        <f t="array" ref="N465">_xlfn.IFS(E465="Electronics","P001", E465="MRO","P002", E465="Office Supplies","P003", E465="Packaging","P004", E465="Raw Materials","P005")</f>
        <v>P003</v>
      </c>
    </row>
    <row r="466" spans="1:14" x14ac:dyDescent="0.2">
      <c r="A466" s="1" t="s">
        <v>480</v>
      </c>
      <c r="B466" s="2" t="s">
        <v>12</v>
      </c>
      <c r="C466" s="3">
        <v>44745</v>
      </c>
      <c r="D466" s="3">
        <v>44761</v>
      </c>
      <c r="E466" s="2" t="s">
        <v>10</v>
      </c>
      <c r="F466" s="2" t="s">
        <v>7</v>
      </c>
      <c r="G466" s="2">
        <v>1110</v>
      </c>
      <c r="H466" s="2">
        <v>48.19</v>
      </c>
      <c r="I466" s="2">
        <v>45.88</v>
      </c>
      <c r="J466" s="2">
        <v>112</v>
      </c>
      <c r="K466" s="2" t="s">
        <v>4</v>
      </c>
      <c r="L466" s="2" t="str">
        <f t="shared" si="7"/>
        <v>Delivered</v>
      </c>
      <c r="M466" t="str" cm="1">
        <f t="array" ref="M466">_xlfn.IFS(B466="Alpha_Inc","S001", B466="Delta_Logistics","S002", B466="Gamma_Co","S003", B466="Beta_Supplies","S004", B466="Epsilon_Group","S005")</f>
        <v>S004</v>
      </c>
      <c r="N466" t="str" cm="1">
        <f t="array" ref="N466">_xlfn.IFS(E466="Electronics","P001", E466="MRO","P002", E466="Office Supplies","P003", E466="Packaging","P004", E466="Raw Materials","P005")</f>
        <v>P002</v>
      </c>
    </row>
    <row r="467" spans="1:14" x14ac:dyDescent="0.2">
      <c r="A467" s="4" t="s">
        <v>481</v>
      </c>
      <c r="B467" s="5" t="s">
        <v>6</v>
      </c>
      <c r="C467" s="6">
        <v>44902</v>
      </c>
      <c r="D467" s="6">
        <f>Table1[[#This Row],[Order_Date]]+14</f>
        <v>44916</v>
      </c>
      <c r="E467" s="5" t="s">
        <v>15</v>
      </c>
      <c r="F467" s="5" t="s">
        <v>7</v>
      </c>
      <c r="G467" s="5">
        <v>329</v>
      </c>
      <c r="H467" s="5">
        <v>12.96</v>
      </c>
      <c r="I467" s="5">
        <v>12.74</v>
      </c>
      <c r="J467" s="5">
        <v>48</v>
      </c>
      <c r="K467" s="5" t="s">
        <v>4</v>
      </c>
      <c r="L467" s="5" t="str">
        <f t="shared" si="7"/>
        <v>Delivered</v>
      </c>
      <c r="M467" t="str" cm="1">
        <f t="array" ref="M467">_xlfn.IFS(B467="Alpha_Inc","S001", B467="Delta_Logistics","S002", B467="Gamma_Co","S003", B467="Beta_Supplies","S004", B467="Epsilon_Group","S005")</f>
        <v>S002</v>
      </c>
      <c r="N467" t="str" cm="1">
        <f t="array" ref="N467">_xlfn.IFS(E467="Electronics","P001", E467="MRO","P002", E467="Office Supplies","P003", E467="Packaging","P004", E467="Raw Materials","P005")</f>
        <v>P005</v>
      </c>
    </row>
    <row r="468" spans="1:14" x14ac:dyDescent="0.2">
      <c r="A468" s="1" t="s">
        <v>482</v>
      </c>
      <c r="B468" s="2" t="s">
        <v>9</v>
      </c>
      <c r="C468" s="3">
        <v>44983</v>
      </c>
      <c r="D468" s="3">
        <v>45002</v>
      </c>
      <c r="E468" s="2" t="s">
        <v>2</v>
      </c>
      <c r="F468" s="2" t="s">
        <v>3</v>
      </c>
      <c r="G468" s="2">
        <v>1422</v>
      </c>
      <c r="H468" s="2">
        <v>25.62</v>
      </c>
      <c r="I468" s="2">
        <v>25.18</v>
      </c>
      <c r="J468" s="2">
        <v>65</v>
      </c>
      <c r="K468" s="2" t="s">
        <v>4</v>
      </c>
      <c r="L468" s="2" t="str">
        <f t="shared" si="7"/>
        <v>Cancelled</v>
      </c>
      <c r="M468" t="str" cm="1">
        <f t="array" ref="M468">_xlfn.IFS(B468="Alpha_Inc","S001", B468="Delta_Logistics","S002", B468="Gamma_Co","S003", B468="Beta_Supplies","S004", B468="Epsilon_Group","S005")</f>
        <v>S003</v>
      </c>
      <c r="N468" t="str" cm="1">
        <f t="array" ref="N468">_xlfn.IFS(E468="Electronics","P001", E468="MRO","P002", E468="Office Supplies","P003", E468="Packaging","P004", E468="Raw Materials","P005")</f>
        <v>P003</v>
      </c>
    </row>
    <row r="469" spans="1:14" x14ac:dyDescent="0.2">
      <c r="A469" s="4" t="s">
        <v>483</v>
      </c>
      <c r="B469" s="5" t="s">
        <v>6</v>
      </c>
      <c r="C469" s="6">
        <v>45247</v>
      </c>
      <c r="D469" s="6">
        <f>Table1[[#This Row],[Order_Date]]+14</f>
        <v>45261</v>
      </c>
      <c r="E469" s="5" t="s">
        <v>15</v>
      </c>
      <c r="F469" s="5" t="s">
        <v>7</v>
      </c>
      <c r="G469" s="5">
        <v>546</v>
      </c>
      <c r="H469" s="5">
        <v>82.63</v>
      </c>
      <c r="I469" s="5">
        <v>74.77</v>
      </c>
      <c r="J469" s="5">
        <v>76</v>
      </c>
      <c r="K469" s="5" t="s">
        <v>16</v>
      </c>
      <c r="L469" s="5" t="str">
        <f t="shared" si="7"/>
        <v>Delivered</v>
      </c>
      <c r="M469" t="str" cm="1">
        <f t="array" ref="M469">_xlfn.IFS(B469="Alpha_Inc","S001", B469="Delta_Logistics","S002", B469="Gamma_Co","S003", B469="Beta_Supplies","S004", B469="Epsilon_Group","S005")</f>
        <v>S002</v>
      </c>
      <c r="N469" t="str" cm="1">
        <f t="array" ref="N469">_xlfn.IFS(E469="Electronics","P001", E469="MRO","P002", E469="Office Supplies","P003", E469="Packaging","P004", E469="Raw Materials","P005")</f>
        <v>P005</v>
      </c>
    </row>
    <row r="470" spans="1:14" x14ac:dyDescent="0.2">
      <c r="A470" s="1" t="s">
        <v>484</v>
      </c>
      <c r="B470" s="2" t="s">
        <v>9</v>
      </c>
      <c r="C470" s="3">
        <v>44816</v>
      </c>
      <c r="D470" s="3">
        <v>44826</v>
      </c>
      <c r="E470" s="2" t="s">
        <v>2</v>
      </c>
      <c r="F470" s="2" t="s">
        <v>22</v>
      </c>
      <c r="G470" s="2">
        <v>351</v>
      </c>
      <c r="H470" s="2">
        <v>72.08</v>
      </c>
      <c r="I470" s="2">
        <v>71.3</v>
      </c>
      <c r="J470" s="2">
        <v>20</v>
      </c>
      <c r="K470" s="2" t="s">
        <v>4</v>
      </c>
      <c r="L470" s="2" t="str">
        <f t="shared" si="7"/>
        <v>Partially Delivered</v>
      </c>
      <c r="M470" t="str" cm="1">
        <f t="array" ref="M470">_xlfn.IFS(B470="Alpha_Inc","S001", B470="Delta_Logistics","S002", B470="Gamma_Co","S003", B470="Beta_Supplies","S004", B470="Epsilon_Group","S005")</f>
        <v>S003</v>
      </c>
      <c r="N470" t="str" cm="1">
        <f t="array" ref="N470">_xlfn.IFS(E470="Electronics","P001", E470="MRO","P002", E470="Office Supplies","P003", E470="Packaging","P004", E470="Raw Materials","P005")</f>
        <v>P003</v>
      </c>
    </row>
    <row r="471" spans="1:14" x14ac:dyDescent="0.2">
      <c r="A471" s="4" t="s">
        <v>485</v>
      </c>
      <c r="B471" s="5" t="s">
        <v>6</v>
      </c>
      <c r="C471" s="6">
        <v>44835</v>
      </c>
      <c r="D471" s="6">
        <v>44852</v>
      </c>
      <c r="E471" s="5" t="s">
        <v>15</v>
      </c>
      <c r="F471" s="5" t="s">
        <v>22</v>
      </c>
      <c r="G471" s="5">
        <v>230</v>
      </c>
      <c r="H471" s="5">
        <v>13</v>
      </c>
      <c r="I471" s="5">
        <v>12.81</v>
      </c>
      <c r="J471" s="5">
        <v>0</v>
      </c>
      <c r="K471" s="5" t="s">
        <v>16</v>
      </c>
      <c r="L471" s="5" t="str">
        <f t="shared" si="7"/>
        <v>Partially Delivered</v>
      </c>
      <c r="M471" t="str" cm="1">
        <f t="array" ref="M471">_xlfn.IFS(B471="Alpha_Inc","S001", B471="Delta_Logistics","S002", B471="Gamma_Co","S003", B471="Beta_Supplies","S004", B471="Epsilon_Group","S005")</f>
        <v>S002</v>
      </c>
      <c r="N471" t="str" cm="1">
        <f t="array" ref="N471">_xlfn.IFS(E471="Electronics","P001", E471="MRO","P002", E471="Office Supplies","P003", E471="Packaging","P004", E471="Raw Materials","P005")</f>
        <v>P005</v>
      </c>
    </row>
    <row r="472" spans="1:14" x14ac:dyDescent="0.2">
      <c r="A472" s="1" t="s">
        <v>486</v>
      </c>
      <c r="B472" s="2" t="s">
        <v>1</v>
      </c>
      <c r="C472" s="3">
        <v>44725</v>
      </c>
      <c r="D472" s="3">
        <v>44731</v>
      </c>
      <c r="E472" s="2" t="s">
        <v>10</v>
      </c>
      <c r="F472" s="2" t="s">
        <v>7</v>
      </c>
      <c r="G472" s="2">
        <v>656</v>
      </c>
      <c r="H472" s="2">
        <v>30.73</v>
      </c>
      <c r="I472" s="2">
        <v>26.26</v>
      </c>
      <c r="J472" s="2">
        <v>17</v>
      </c>
      <c r="K472" s="2" t="s">
        <v>4</v>
      </c>
      <c r="L472" s="2" t="str">
        <f t="shared" si="7"/>
        <v>Delivered</v>
      </c>
      <c r="M472" t="str" cm="1">
        <f t="array" ref="M472">_xlfn.IFS(B472="Alpha_Inc","S001", B472="Delta_Logistics","S002", B472="Gamma_Co","S003", B472="Beta_Supplies","S004", B472="Epsilon_Group","S005")</f>
        <v>S001</v>
      </c>
      <c r="N472" t="str" cm="1">
        <f t="array" ref="N472">_xlfn.IFS(E472="Electronics","P001", E472="MRO","P002", E472="Office Supplies","P003", E472="Packaging","P004", E472="Raw Materials","P005")</f>
        <v>P002</v>
      </c>
    </row>
    <row r="473" spans="1:14" x14ac:dyDescent="0.2">
      <c r="A473" s="4" t="s">
        <v>487</v>
      </c>
      <c r="B473" s="5" t="s">
        <v>9</v>
      </c>
      <c r="C473" s="6">
        <v>45280</v>
      </c>
      <c r="D473" s="6">
        <v>45300</v>
      </c>
      <c r="E473" s="5" t="s">
        <v>10</v>
      </c>
      <c r="F473" s="5" t="s">
        <v>7</v>
      </c>
      <c r="G473" s="5">
        <v>1172</v>
      </c>
      <c r="H473" s="5">
        <v>34.340000000000003</v>
      </c>
      <c r="I473" s="5">
        <v>32.090000000000003</v>
      </c>
      <c r="J473" s="5">
        <v>69</v>
      </c>
      <c r="K473" s="5" t="s">
        <v>4</v>
      </c>
      <c r="L473" s="5" t="str">
        <f t="shared" si="7"/>
        <v>Delivered</v>
      </c>
      <c r="M473" t="str" cm="1">
        <f t="array" ref="M473">_xlfn.IFS(B473="Alpha_Inc","S001", B473="Delta_Logistics","S002", B473="Gamma_Co","S003", B473="Beta_Supplies","S004", B473="Epsilon_Group","S005")</f>
        <v>S003</v>
      </c>
      <c r="N473" t="str" cm="1">
        <f t="array" ref="N473">_xlfn.IFS(E473="Electronics","P001", E473="MRO","P002", E473="Office Supplies","P003", E473="Packaging","P004", E473="Raw Materials","P005")</f>
        <v>P002</v>
      </c>
    </row>
    <row r="474" spans="1:14" x14ac:dyDescent="0.2">
      <c r="A474" s="1" t="s">
        <v>488</v>
      </c>
      <c r="B474" s="2" t="s">
        <v>9</v>
      </c>
      <c r="C474" s="3">
        <v>44672</v>
      </c>
      <c r="D474" s="3">
        <v>44681</v>
      </c>
      <c r="E474" s="2" t="s">
        <v>28</v>
      </c>
      <c r="F474" s="2" t="s">
        <v>7</v>
      </c>
      <c r="G474" s="2">
        <v>749</v>
      </c>
      <c r="H474" s="2">
        <v>71.53</v>
      </c>
      <c r="I474" s="2">
        <v>70.02</v>
      </c>
      <c r="J474" s="2">
        <v>41</v>
      </c>
      <c r="K474" s="2" t="s">
        <v>4</v>
      </c>
      <c r="L474" s="2" t="str">
        <f t="shared" si="7"/>
        <v>Delivered</v>
      </c>
      <c r="M474" t="str" cm="1">
        <f t="array" ref="M474">_xlfn.IFS(B474="Alpha_Inc","S001", B474="Delta_Logistics","S002", B474="Gamma_Co","S003", B474="Beta_Supplies","S004", B474="Epsilon_Group","S005")</f>
        <v>S003</v>
      </c>
      <c r="N474" t="str" cm="1">
        <f t="array" ref="N474">_xlfn.IFS(E474="Electronics","P001", E474="MRO","P002", E474="Office Supplies","P003", E474="Packaging","P004", E474="Raw Materials","P005")</f>
        <v>P001</v>
      </c>
    </row>
    <row r="475" spans="1:14" x14ac:dyDescent="0.2">
      <c r="A475" s="4" t="s">
        <v>489</v>
      </c>
      <c r="B475" s="5" t="s">
        <v>12</v>
      </c>
      <c r="C475" s="6">
        <v>44953</v>
      </c>
      <c r="D475" s="6">
        <v>44969</v>
      </c>
      <c r="E475" s="5" t="s">
        <v>13</v>
      </c>
      <c r="F475" s="5" t="s">
        <v>7</v>
      </c>
      <c r="G475" s="5">
        <v>1042</v>
      </c>
      <c r="H475" s="5">
        <v>12.48</v>
      </c>
      <c r="I475" s="5">
        <v>12.3</v>
      </c>
      <c r="J475" s="5">
        <v>88</v>
      </c>
      <c r="K475" s="5" t="s">
        <v>4</v>
      </c>
      <c r="L475" s="5" t="str">
        <f t="shared" si="7"/>
        <v>Delivered</v>
      </c>
      <c r="M475" t="str" cm="1">
        <f t="array" ref="M475">_xlfn.IFS(B475="Alpha_Inc","S001", B475="Delta_Logistics","S002", B475="Gamma_Co","S003", B475="Beta_Supplies","S004", B475="Epsilon_Group","S005")</f>
        <v>S004</v>
      </c>
      <c r="N475" t="str" cm="1">
        <f t="array" ref="N475">_xlfn.IFS(E475="Electronics","P001", E475="MRO","P002", E475="Office Supplies","P003", E475="Packaging","P004", E475="Raw Materials","P005")</f>
        <v>P004</v>
      </c>
    </row>
    <row r="476" spans="1:14" x14ac:dyDescent="0.2">
      <c r="A476" s="1" t="s">
        <v>490</v>
      </c>
      <c r="B476" s="2" t="s">
        <v>6</v>
      </c>
      <c r="C476" s="3">
        <v>44601</v>
      </c>
      <c r="D476" s="3">
        <v>44619</v>
      </c>
      <c r="E476" s="2" t="s">
        <v>15</v>
      </c>
      <c r="F476" s="2" t="s">
        <v>7</v>
      </c>
      <c r="G476" s="2">
        <v>1189</v>
      </c>
      <c r="H476" s="2">
        <v>19.47</v>
      </c>
      <c r="I476" s="2">
        <v>17.149999999999999</v>
      </c>
      <c r="J476" s="2">
        <v>0</v>
      </c>
      <c r="K476" s="2" t="s">
        <v>16</v>
      </c>
      <c r="L476" s="2" t="str">
        <f t="shared" si="7"/>
        <v>Delivered</v>
      </c>
      <c r="M476" t="str" cm="1">
        <f t="array" ref="M476">_xlfn.IFS(B476="Alpha_Inc","S001", B476="Delta_Logistics","S002", B476="Gamma_Co","S003", B476="Beta_Supplies","S004", B476="Epsilon_Group","S005")</f>
        <v>S002</v>
      </c>
      <c r="N476" t="str" cm="1">
        <f t="array" ref="N476">_xlfn.IFS(E476="Electronics","P001", E476="MRO","P002", E476="Office Supplies","P003", E476="Packaging","P004", E476="Raw Materials","P005")</f>
        <v>P005</v>
      </c>
    </row>
    <row r="477" spans="1:14" x14ac:dyDescent="0.2">
      <c r="A477" s="4" t="s">
        <v>491</v>
      </c>
      <c r="B477" s="5" t="s">
        <v>18</v>
      </c>
      <c r="C477" s="6">
        <v>45043</v>
      </c>
      <c r="D477" s="6">
        <f>Table1[[#This Row],[Order_Date]]+14</f>
        <v>45057</v>
      </c>
      <c r="E477" s="5" t="s">
        <v>2</v>
      </c>
      <c r="F477" s="5" t="s">
        <v>7</v>
      </c>
      <c r="G477" s="5">
        <v>240</v>
      </c>
      <c r="H477" s="5">
        <v>88.14</v>
      </c>
      <c r="I477" s="5">
        <v>81.900000000000006</v>
      </c>
      <c r="J477" s="5">
        <v>4</v>
      </c>
      <c r="K477" s="5" t="s">
        <v>4</v>
      </c>
      <c r="L477" s="5" t="str">
        <f t="shared" si="7"/>
        <v>Delivered</v>
      </c>
      <c r="M477" t="str" cm="1">
        <f t="array" ref="M477">_xlfn.IFS(B477="Alpha_Inc","S001", B477="Delta_Logistics","S002", B477="Gamma_Co","S003", B477="Beta_Supplies","S004", B477="Epsilon_Group","S005")</f>
        <v>S005</v>
      </c>
      <c r="N477" t="str" cm="1">
        <f t="array" ref="N477">_xlfn.IFS(E477="Electronics","P001", E477="MRO","P002", E477="Office Supplies","P003", E477="Packaging","P004", E477="Raw Materials","P005")</f>
        <v>P003</v>
      </c>
    </row>
    <row r="478" spans="1:14" x14ac:dyDescent="0.2">
      <c r="A478" s="1" t="s">
        <v>492</v>
      </c>
      <c r="B478" s="2" t="s">
        <v>18</v>
      </c>
      <c r="C478" s="3">
        <v>44789</v>
      </c>
      <c r="D478" s="3">
        <v>44806</v>
      </c>
      <c r="E478" s="2" t="s">
        <v>10</v>
      </c>
      <c r="F478" s="2" t="s">
        <v>7</v>
      </c>
      <c r="G478" s="2">
        <v>302</v>
      </c>
      <c r="H478" s="2">
        <v>26.98</v>
      </c>
      <c r="I478" s="2">
        <v>26.47</v>
      </c>
      <c r="J478" s="2">
        <v>9</v>
      </c>
      <c r="K478" s="2" t="s">
        <v>4</v>
      </c>
      <c r="L478" s="2" t="str">
        <f t="shared" si="7"/>
        <v>Delivered</v>
      </c>
      <c r="M478" t="str" cm="1">
        <f t="array" ref="M478">_xlfn.IFS(B478="Alpha_Inc","S001", B478="Delta_Logistics","S002", B478="Gamma_Co","S003", B478="Beta_Supplies","S004", B478="Epsilon_Group","S005")</f>
        <v>S005</v>
      </c>
      <c r="N478" t="str" cm="1">
        <f t="array" ref="N478">_xlfn.IFS(E478="Electronics","P001", E478="MRO","P002", E478="Office Supplies","P003", E478="Packaging","P004", E478="Raw Materials","P005")</f>
        <v>P002</v>
      </c>
    </row>
    <row r="479" spans="1:14" x14ac:dyDescent="0.2">
      <c r="A479" s="4" t="s">
        <v>493</v>
      </c>
      <c r="B479" s="5" t="s">
        <v>12</v>
      </c>
      <c r="C479" s="6">
        <v>44766</v>
      </c>
      <c r="D479" s="6">
        <v>44776</v>
      </c>
      <c r="E479" s="5" t="s">
        <v>10</v>
      </c>
      <c r="F479" s="5" t="s">
        <v>24</v>
      </c>
      <c r="G479" s="5">
        <v>1030</v>
      </c>
      <c r="H479" s="5">
        <v>70.81</v>
      </c>
      <c r="I479" s="5">
        <v>61.58</v>
      </c>
      <c r="J479" s="5">
        <v>0</v>
      </c>
      <c r="K479" s="5" t="s">
        <v>16</v>
      </c>
      <c r="L479" s="5" t="str">
        <f t="shared" si="7"/>
        <v>Pending</v>
      </c>
      <c r="M479" t="str" cm="1">
        <f t="array" ref="M479">_xlfn.IFS(B479="Alpha_Inc","S001", B479="Delta_Logistics","S002", B479="Gamma_Co","S003", B479="Beta_Supplies","S004", B479="Epsilon_Group","S005")</f>
        <v>S004</v>
      </c>
      <c r="N479" t="str" cm="1">
        <f t="array" ref="N479">_xlfn.IFS(E479="Electronics","P001", E479="MRO","P002", E479="Office Supplies","P003", E479="Packaging","P004", E479="Raw Materials","P005")</f>
        <v>P002</v>
      </c>
    </row>
    <row r="480" spans="1:14" x14ac:dyDescent="0.2">
      <c r="A480" s="1" t="s">
        <v>494</v>
      </c>
      <c r="B480" s="2" t="s">
        <v>6</v>
      </c>
      <c r="C480" s="3">
        <v>45033</v>
      </c>
      <c r="D480" s="3">
        <v>45039</v>
      </c>
      <c r="E480" s="2" t="s">
        <v>2</v>
      </c>
      <c r="F480" s="2" t="s">
        <v>7</v>
      </c>
      <c r="G480" s="2">
        <v>977</v>
      </c>
      <c r="H480" s="2">
        <v>33.79</v>
      </c>
      <c r="I480" s="2">
        <v>32.25</v>
      </c>
      <c r="J480" s="2">
        <v>137</v>
      </c>
      <c r="K480" s="2" t="s">
        <v>4</v>
      </c>
      <c r="L480" s="2" t="str">
        <f t="shared" si="7"/>
        <v>Delivered</v>
      </c>
      <c r="M480" t="str" cm="1">
        <f t="array" ref="M480">_xlfn.IFS(B480="Alpha_Inc","S001", B480="Delta_Logistics","S002", B480="Gamma_Co","S003", B480="Beta_Supplies","S004", B480="Epsilon_Group","S005")</f>
        <v>S002</v>
      </c>
      <c r="N480" t="str" cm="1">
        <f t="array" ref="N480">_xlfn.IFS(E480="Electronics","P001", E480="MRO","P002", E480="Office Supplies","P003", E480="Packaging","P004", E480="Raw Materials","P005")</f>
        <v>P003</v>
      </c>
    </row>
    <row r="481" spans="1:14" x14ac:dyDescent="0.2">
      <c r="A481" s="4" t="s">
        <v>495</v>
      </c>
      <c r="B481" s="5" t="s">
        <v>1</v>
      </c>
      <c r="C481" s="6">
        <v>44920</v>
      </c>
      <c r="D481" s="6">
        <v>44937</v>
      </c>
      <c r="E481" s="5" t="s">
        <v>13</v>
      </c>
      <c r="F481" s="5" t="s">
        <v>7</v>
      </c>
      <c r="G481" s="5">
        <v>1234</v>
      </c>
      <c r="H481" s="5">
        <v>19.989999999999998</v>
      </c>
      <c r="I481" s="5">
        <v>17.66</v>
      </c>
      <c r="J481" s="5">
        <v>25</v>
      </c>
      <c r="K481" s="5" t="s">
        <v>4</v>
      </c>
      <c r="L481" s="5" t="str">
        <f t="shared" si="7"/>
        <v>Delivered</v>
      </c>
      <c r="M481" t="str" cm="1">
        <f t="array" ref="M481">_xlfn.IFS(B481="Alpha_Inc","S001", B481="Delta_Logistics","S002", B481="Gamma_Co","S003", B481="Beta_Supplies","S004", B481="Epsilon_Group","S005")</f>
        <v>S001</v>
      </c>
      <c r="N481" t="str" cm="1">
        <f t="array" ref="N481">_xlfn.IFS(E481="Electronics","P001", E481="MRO","P002", E481="Office Supplies","P003", E481="Packaging","P004", E481="Raw Materials","P005")</f>
        <v>P004</v>
      </c>
    </row>
    <row r="482" spans="1:14" x14ac:dyDescent="0.2">
      <c r="A482" s="1" t="s">
        <v>496</v>
      </c>
      <c r="B482" s="2" t="s">
        <v>12</v>
      </c>
      <c r="C482" s="3">
        <v>44874</v>
      </c>
      <c r="D482" s="3">
        <v>44888</v>
      </c>
      <c r="E482" s="2" t="s">
        <v>2</v>
      </c>
      <c r="F482" s="2" t="s">
        <v>7</v>
      </c>
      <c r="G482" s="2">
        <v>1329</v>
      </c>
      <c r="H482" s="2">
        <v>33.479999999999997</v>
      </c>
      <c r="I482" s="2">
        <v>33.06</v>
      </c>
      <c r="J482" s="2">
        <v>146</v>
      </c>
      <c r="K482" s="2" t="s">
        <v>4</v>
      </c>
      <c r="L482" s="2" t="str">
        <f t="shared" si="7"/>
        <v>Delivered</v>
      </c>
      <c r="M482" t="str" cm="1">
        <f t="array" ref="M482">_xlfn.IFS(B482="Alpha_Inc","S001", B482="Delta_Logistics","S002", B482="Gamma_Co","S003", B482="Beta_Supplies","S004", B482="Epsilon_Group","S005")</f>
        <v>S004</v>
      </c>
      <c r="N482" t="str" cm="1">
        <f t="array" ref="N482">_xlfn.IFS(E482="Electronics","P001", E482="MRO","P002", E482="Office Supplies","P003", E482="Packaging","P004", E482="Raw Materials","P005")</f>
        <v>P003</v>
      </c>
    </row>
    <row r="483" spans="1:14" x14ac:dyDescent="0.2">
      <c r="A483" s="4" t="s">
        <v>497</v>
      </c>
      <c r="B483" s="5" t="s">
        <v>9</v>
      </c>
      <c r="C483" s="6">
        <v>44795</v>
      </c>
      <c r="D483" s="6">
        <v>44803</v>
      </c>
      <c r="E483" s="5" t="s">
        <v>15</v>
      </c>
      <c r="F483" s="5" t="s">
        <v>7</v>
      </c>
      <c r="G483" s="5">
        <v>1396</v>
      </c>
      <c r="H483" s="5">
        <v>77.63</v>
      </c>
      <c r="I483" s="5">
        <v>67.81</v>
      </c>
      <c r="J483" s="5">
        <v>58</v>
      </c>
      <c r="K483" s="5" t="s">
        <v>4</v>
      </c>
      <c r="L483" s="5" t="str">
        <f t="shared" si="7"/>
        <v>Delivered</v>
      </c>
      <c r="M483" t="str" cm="1">
        <f t="array" ref="M483">_xlfn.IFS(B483="Alpha_Inc","S001", B483="Delta_Logistics","S002", B483="Gamma_Co","S003", B483="Beta_Supplies","S004", B483="Epsilon_Group","S005")</f>
        <v>S003</v>
      </c>
      <c r="N483" t="str" cm="1">
        <f t="array" ref="N483">_xlfn.IFS(E483="Electronics","P001", E483="MRO","P002", E483="Office Supplies","P003", E483="Packaging","P004", E483="Raw Materials","P005")</f>
        <v>P005</v>
      </c>
    </row>
    <row r="484" spans="1:14" x14ac:dyDescent="0.2">
      <c r="A484" s="1" t="s">
        <v>498</v>
      </c>
      <c r="B484" s="2" t="s">
        <v>1</v>
      </c>
      <c r="C484" s="3">
        <v>44790</v>
      </c>
      <c r="D484" s="3">
        <v>44802</v>
      </c>
      <c r="E484" s="2" t="s">
        <v>15</v>
      </c>
      <c r="F484" s="2" t="s">
        <v>7</v>
      </c>
      <c r="G484" s="2">
        <v>177</v>
      </c>
      <c r="H484" s="2">
        <v>90.06</v>
      </c>
      <c r="I484" s="2">
        <v>87.71</v>
      </c>
      <c r="J484" s="2">
        <v>7</v>
      </c>
      <c r="K484" s="2" t="s">
        <v>4</v>
      </c>
      <c r="L484" s="2" t="str">
        <f t="shared" si="7"/>
        <v>Delivered</v>
      </c>
      <c r="M484" t="str" cm="1">
        <f t="array" ref="M484">_xlfn.IFS(B484="Alpha_Inc","S001", B484="Delta_Logistics","S002", B484="Gamma_Co","S003", B484="Beta_Supplies","S004", B484="Epsilon_Group","S005")</f>
        <v>S001</v>
      </c>
      <c r="N484" t="str" cm="1">
        <f t="array" ref="N484">_xlfn.IFS(E484="Electronics","P001", E484="MRO","P002", E484="Office Supplies","P003", E484="Packaging","P004", E484="Raw Materials","P005")</f>
        <v>P005</v>
      </c>
    </row>
    <row r="485" spans="1:14" x14ac:dyDescent="0.2">
      <c r="A485" s="4" t="s">
        <v>499</v>
      </c>
      <c r="B485" s="5" t="s">
        <v>6</v>
      </c>
      <c r="C485" s="6">
        <v>44586</v>
      </c>
      <c r="D485" s="6">
        <f>Table1[[#This Row],[Order_Date]]+14</f>
        <v>44600</v>
      </c>
      <c r="E485" s="5" t="s">
        <v>28</v>
      </c>
      <c r="F485" s="5" t="s">
        <v>7</v>
      </c>
      <c r="G485" s="5">
        <v>67</v>
      </c>
      <c r="H485" s="5">
        <v>84.72</v>
      </c>
      <c r="I485" s="5">
        <v>73.06</v>
      </c>
      <c r="J485" s="5">
        <v>9</v>
      </c>
      <c r="K485" s="5" t="s">
        <v>4</v>
      </c>
      <c r="L485" s="5" t="str">
        <f t="shared" si="7"/>
        <v>Delivered</v>
      </c>
      <c r="M485" t="str" cm="1">
        <f t="array" ref="M485">_xlfn.IFS(B485="Alpha_Inc","S001", B485="Delta_Logistics","S002", B485="Gamma_Co","S003", B485="Beta_Supplies","S004", B485="Epsilon_Group","S005")</f>
        <v>S002</v>
      </c>
      <c r="N485" t="str" cm="1">
        <f t="array" ref="N485">_xlfn.IFS(E485="Electronics","P001", E485="MRO","P002", E485="Office Supplies","P003", E485="Packaging","P004", E485="Raw Materials","P005")</f>
        <v>P001</v>
      </c>
    </row>
    <row r="486" spans="1:14" x14ac:dyDescent="0.2">
      <c r="A486" s="1" t="s">
        <v>500</v>
      </c>
      <c r="B486" s="2" t="s">
        <v>9</v>
      </c>
      <c r="C486" s="3">
        <v>45237</v>
      </c>
      <c r="D486" s="3">
        <v>45250</v>
      </c>
      <c r="E486" s="2" t="s">
        <v>2</v>
      </c>
      <c r="F486" s="2" t="s">
        <v>7</v>
      </c>
      <c r="G486" s="2">
        <v>1866</v>
      </c>
      <c r="H486" s="2">
        <v>50.78</v>
      </c>
      <c r="I486" s="2">
        <v>48.2</v>
      </c>
      <c r="J486" s="2">
        <v>96</v>
      </c>
      <c r="K486" s="2" t="s">
        <v>4</v>
      </c>
      <c r="L486" s="2" t="str">
        <f t="shared" si="7"/>
        <v>Delivered</v>
      </c>
      <c r="M486" t="str" cm="1">
        <f t="array" ref="M486">_xlfn.IFS(B486="Alpha_Inc","S001", B486="Delta_Logistics","S002", B486="Gamma_Co","S003", B486="Beta_Supplies","S004", B486="Epsilon_Group","S005")</f>
        <v>S003</v>
      </c>
      <c r="N486" t="str" cm="1">
        <f t="array" ref="N486">_xlfn.IFS(E486="Electronics","P001", E486="MRO","P002", E486="Office Supplies","P003", E486="Packaging","P004", E486="Raw Materials","P005")</f>
        <v>P003</v>
      </c>
    </row>
    <row r="487" spans="1:14" x14ac:dyDescent="0.2">
      <c r="A487" s="4" t="s">
        <v>501</v>
      </c>
      <c r="B487" s="5" t="s">
        <v>18</v>
      </c>
      <c r="C487" s="6">
        <v>44759</v>
      </c>
      <c r="D487" s="6">
        <v>44767</v>
      </c>
      <c r="E487" s="5" t="s">
        <v>10</v>
      </c>
      <c r="F487" s="5" t="s">
        <v>7</v>
      </c>
      <c r="G487" s="5">
        <v>1808</v>
      </c>
      <c r="H487" s="5">
        <v>72.23</v>
      </c>
      <c r="I487" s="5">
        <v>67.86</v>
      </c>
      <c r="J487" s="5">
        <v>53</v>
      </c>
      <c r="K487" s="5" t="s">
        <v>4</v>
      </c>
      <c r="L487" s="5" t="str">
        <f t="shared" si="7"/>
        <v>Delivered</v>
      </c>
      <c r="M487" t="str" cm="1">
        <f t="array" ref="M487">_xlfn.IFS(B487="Alpha_Inc","S001", B487="Delta_Logistics","S002", B487="Gamma_Co","S003", B487="Beta_Supplies","S004", B487="Epsilon_Group","S005")</f>
        <v>S005</v>
      </c>
      <c r="N487" t="str" cm="1">
        <f t="array" ref="N487">_xlfn.IFS(E487="Electronics","P001", E487="MRO","P002", E487="Office Supplies","P003", E487="Packaging","P004", E487="Raw Materials","P005")</f>
        <v>P002</v>
      </c>
    </row>
    <row r="488" spans="1:14" x14ac:dyDescent="0.2">
      <c r="A488" s="1" t="s">
        <v>502</v>
      </c>
      <c r="B488" s="2" t="s">
        <v>6</v>
      </c>
      <c r="C488" s="3">
        <v>44970</v>
      </c>
      <c r="D488" s="3">
        <v>44973</v>
      </c>
      <c r="E488" s="2" t="s">
        <v>28</v>
      </c>
      <c r="F488" s="2" t="s">
        <v>3</v>
      </c>
      <c r="G488" s="2">
        <v>615</v>
      </c>
      <c r="H488" s="2">
        <v>30.3</v>
      </c>
      <c r="I488" s="2">
        <v>29.52</v>
      </c>
      <c r="J488" s="2">
        <v>96</v>
      </c>
      <c r="K488" s="2" t="s">
        <v>4</v>
      </c>
      <c r="L488" s="2" t="str">
        <f t="shared" si="7"/>
        <v>Cancelled</v>
      </c>
      <c r="M488" t="str" cm="1">
        <f t="array" ref="M488">_xlfn.IFS(B488="Alpha_Inc","S001", B488="Delta_Logistics","S002", B488="Gamma_Co","S003", B488="Beta_Supplies","S004", B488="Epsilon_Group","S005")</f>
        <v>S002</v>
      </c>
      <c r="N488" t="str" cm="1">
        <f t="array" ref="N488">_xlfn.IFS(E488="Electronics","P001", E488="MRO","P002", E488="Office Supplies","P003", E488="Packaging","P004", E488="Raw Materials","P005")</f>
        <v>P001</v>
      </c>
    </row>
    <row r="489" spans="1:14" x14ac:dyDescent="0.2">
      <c r="A489" s="4" t="s">
        <v>503</v>
      </c>
      <c r="B489" s="5" t="s">
        <v>9</v>
      </c>
      <c r="C489" s="6">
        <v>44898</v>
      </c>
      <c r="D489" s="6">
        <v>44899</v>
      </c>
      <c r="E489" s="5" t="s">
        <v>2</v>
      </c>
      <c r="F489" s="5" t="s">
        <v>24</v>
      </c>
      <c r="G489" s="5">
        <v>619</v>
      </c>
      <c r="H489" s="5">
        <v>38.380000000000003</v>
      </c>
      <c r="I489" s="5">
        <v>35.020000000000003</v>
      </c>
      <c r="J489" s="5">
        <v>34</v>
      </c>
      <c r="K489" s="5" t="s">
        <v>4</v>
      </c>
      <c r="L489" s="5" t="str">
        <f t="shared" si="7"/>
        <v>Pending</v>
      </c>
      <c r="M489" t="str" cm="1">
        <f t="array" ref="M489">_xlfn.IFS(B489="Alpha_Inc","S001", B489="Delta_Logistics","S002", B489="Gamma_Co","S003", B489="Beta_Supplies","S004", B489="Epsilon_Group","S005")</f>
        <v>S003</v>
      </c>
      <c r="N489" t="str" cm="1">
        <f t="array" ref="N489">_xlfn.IFS(E489="Electronics","P001", E489="MRO","P002", E489="Office Supplies","P003", E489="Packaging","P004", E489="Raw Materials","P005")</f>
        <v>P003</v>
      </c>
    </row>
    <row r="490" spans="1:14" x14ac:dyDescent="0.2">
      <c r="A490" s="1" t="s">
        <v>504</v>
      </c>
      <c r="B490" s="2" t="s">
        <v>6</v>
      </c>
      <c r="C490" s="3">
        <v>44847</v>
      </c>
      <c r="D490" s="3">
        <v>44851</v>
      </c>
      <c r="E490" s="2" t="s">
        <v>2</v>
      </c>
      <c r="F490" s="2" t="s">
        <v>7</v>
      </c>
      <c r="G490" s="2">
        <v>1396</v>
      </c>
      <c r="H490" s="2">
        <v>94.75</v>
      </c>
      <c r="I490" s="2">
        <v>84.06</v>
      </c>
      <c r="J490" s="2">
        <v>210</v>
      </c>
      <c r="K490" s="2" t="s">
        <v>4</v>
      </c>
      <c r="L490" s="2" t="str">
        <f t="shared" si="7"/>
        <v>Delivered</v>
      </c>
      <c r="M490" t="str" cm="1">
        <f t="array" ref="M490">_xlfn.IFS(B490="Alpha_Inc","S001", B490="Delta_Logistics","S002", B490="Gamma_Co","S003", B490="Beta_Supplies","S004", B490="Epsilon_Group","S005")</f>
        <v>S002</v>
      </c>
      <c r="N490" t="str" cm="1">
        <f t="array" ref="N490">_xlfn.IFS(E490="Electronics","P001", E490="MRO","P002", E490="Office Supplies","P003", E490="Packaging","P004", E490="Raw Materials","P005")</f>
        <v>P003</v>
      </c>
    </row>
    <row r="491" spans="1:14" x14ac:dyDescent="0.2">
      <c r="A491" s="4" t="s">
        <v>505</v>
      </c>
      <c r="B491" s="5" t="s">
        <v>9</v>
      </c>
      <c r="C491" s="6">
        <v>44633</v>
      </c>
      <c r="D491" s="6">
        <v>44644</v>
      </c>
      <c r="E491" s="5" t="s">
        <v>10</v>
      </c>
      <c r="F491" s="5" t="s">
        <v>7</v>
      </c>
      <c r="G491" s="5">
        <v>1945</v>
      </c>
      <c r="H491" s="5">
        <v>11.28</v>
      </c>
      <c r="I491" s="5">
        <v>9.98</v>
      </c>
      <c r="J491" s="5">
        <v>94</v>
      </c>
      <c r="K491" s="5" t="s">
        <v>4</v>
      </c>
      <c r="L491" s="5" t="str">
        <f t="shared" si="7"/>
        <v>Delivered</v>
      </c>
      <c r="M491" t="str" cm="1">
        <f t="array" ref="M491">_xlfn.IFS(B491="Alpha_Inc","S001", B491="Delta_Logistics","S002", B491="Gamma_Co","S003", B491="Beta_Supplies","S004", B491="Epsilon_Group","S005")</f>
        <v>S003</v>
      </c>
      <c r="N491" t="str" cm="1">
        <f t="array" ref="N491">_xlfn.IFS(E491="Electronics","P001", E491="MRO","P002", E491="Office Supplies","P003", E491="Packaging","P004", E491="Raw Materials","P005")</f>
        <v>P002</v>
      </c>
    </row>
    <row r="492" spans="1:14" x14ac:dyDescent="0.2">
      <c r="A492" s="1" t="s">
        <v>506</v>
      </c>
      <c r="B492" s="2" t="s">
        <v>6</v>
      </c>
      <c r="C492" s="3">
        <v>44847</v>
      </c>
      <c r="D492" s="3">
        <v>44852</v>
      </c>
      <c r="E492" s="2" t="s">
        <v>13</v>
      </c>
      <c r="F492" s="2" t="s">
        <v>7</v>
      </c>
      <c r="G492" s="2">
        <v>735</v>
      </c>
      <c r="H492" s="2">
        <v>18.489999999999998</v>
      </c>
      <c r="I492" s="2">
        <v>15.89</v>
      </c>
      <c r="J492" s="2">
        <v>113</v>
      </c>
      <c r="K492" s="2" t="s">
        <v>16</v>
      </c>
      <c r="L492" s="2" t="str">
        <f t="shared" si="7"/>
        <v>Delivered</v>
      </c>
      <c r="M492" t="str" cm="1">
        <f t="array" ref="M492">_xlfn.IFS(B492="Alpha_Inc","S001", B492="Delta_Logistics","S002", B492="Gamma_Co","S003", B492="Beta_Supplies","S004", B492="Epsilon_Group","S005")</f>
        <v>S002</v>
      </c>
      <c r="N492" t="str" cm="1">
        <f t="array" ref="N492">_xlfn.IFS(E492="Electronics","P001", E492="MRO","P002", E492="Office Supplies","P003", E492="Packaging","P004", E492="Raw Materials","P005")</f>
        <v>P004</v>
      </c>
    </row>
    <row r="493" spans="1:14" x14ac:dyDescent="0.2">
      <c r="A493" s="4" t="s">
        <v>507</v>
      </c>
      <c r="B493" s="5" t="s">
        <v>18</v>
      </c>
      <c r="C493" s="6">
        <v>44921</v>
      </c>
      <c r="D493" s="6">
        <v>44937</v>
      </c>
      <c r="E493" s="5" t="s">
        <v>2</v>
      </c>
      <c r="F493" s="5" t="s">
        <v>24</v>
      </c>
      <c r="G493" s="5">
        <v>1865</v>
      </c>
      <c r="H493" s="5">
        <v>30.29</v>
      </c>
      <c r="I493" s="5">
        <v>26.83</v>
      </c>
      <c r="J493" s="5">
        <v>56</v>
      </c>
      <c r="K493" s="5" t="s">
        <v>4</v>
      </c>
      <c r="L493" s="5" t="str">
        <f t="shared" si="7"/>
        <v>Pending</v>
      </c>
      <c r="M493" t="str" cm="1">
        <f t="array" ref="M493">_xlfn.IFS(B493="Alpha_Inc","S001", B493="Delta_Logistics","S002", B493="Gamma_Co","S003", B493="Beta_Supplies","S004", B493="Epsilon_Group","S005")</f>
        <v>S005</v>
      </c>
      <c r="N493" t="str" cm="1">
        <f t="array" ref="N493">_xlfn.IFS(E493="Electronics","P001", E493="MRO","P002", E493="Office Supplies","P003", E493="Packaging","P004", E493="Raw Materials","P005")</f>
        <v>P003</v>
      </c>
    </row>
    <row r="494" spans="1:14" x14ac:dyDescent="0.2">
      <c r="A494" s="1" t="s">
        <v>508</v>
      </c>
      <c r="B494" s="2" t="s">
        <v>12</v>
      </c>
      <c r="C494" s="3">
        <v>45218</v>
      </c>
      <c r="D494" s="3">
        <v>45223</v>
      </c>
      <c r="E494" s="2" t="s">
        <v>28</v>
      </c>
      <c r="F494" s="2" t="s">
        <v>3</v>
      </c>
      <c r="G494" s="2">
        <v>675</v>
      </c>
      <c r="H494" s="2">
        <v>13.69</v>
      </c>
      <c r="I494" s="2">
        <v>11.84</v>
      </c>
      <c r="J494" s="2">
        <v>52</v>
      </c>
      <c r="K494" s="2" t="s">
        <v>4</v>
      </c>
      <c r="L494" s="2" t="str">
        <f t="shared" si="7"/>
        <v>Cancelled</v>
      </c>
      <c r="M494" t="str" cm="1">
        <f t="array" ref="M494">_xlfn.IFS(B494="Alpha_Inc","S001", B494="Delta_Logistics","S002", B494="Gamma_Co","S003", B494="Beta_Supplies","S004", B494="Epsilon_Group","S005")</f>
        <v>S004</v>
      </c>
      <c r="N494" t="str" cm="1">
        <f t="array" ref="N494">_xlfn.IFS(E494="Electronics","P001", E494="MRO","P002", E494="Office Supplies","P003", E494="Packaging","P004", E494="Raw Materials","P005")</f>
        <v>P001</v>
      </c>
    </row>
    <row r="495" spans="1:14" x14ac:dyDescent="0.2">
      <c r="A495" s="4" t="s">
        <v>509</v>
      </c>
      <c r="B495" s="5" t="s">
        <v>9</v>
      </c>
      <c r="C495" s="6">
        <v>45083</v>
      </c>
      <c r="D495" s="6">
        <v>45099</v>
      </c>
      <c r="E495" s="5" t="s">
        <v>10</v>
      </c>
      <c r="F495" s="5" t="s">
        <v>24</v>
      </c>
      <c r="G495" s="5">
        <v>1361</v>
      </c>
      <c r="H495" s="5">
        <v>28.57</v>
      </c>
      <c r="I495" s="5">
        <v>24.29</v>
      </c>
      <c r="J495" s="5">
        <v>65</v>
      </c>
      <c r="K495" s="5" t="s">
        <v>4</v>
      </c>
      <c r="L495" s="5" t="str">
        <f t="shared" si="7"/>
        <v>Pending</v>
      </c>
      <c r="M495" t="str" cm="1">
        <f t="array" ref="M495">_xlfn.IFS(B495="Alpha_Inc","S001", B495="Delta_Logistics","S002", B495="Gamma_Co","S003", B495="Beta_Supplies","S004", B495="Epsilon_Group","S005")</f>
        <v>S003</v>
      </c>
      <c r="N495" t="str" cm="1">
        <f t="array" ref="N495">_xlfn.IFS(E495="Electronics","P001", E495="MRO","P002", E495="Office Supplies","P003", E495="Packaging","P004", E495="Raw Materials","P005")</f>
        <v>P002</v>
      </c>
    </row>
    <row r="496" spans="1:14" x14ac:dyDescent="0.2">
      <c r="A496" s="1" t="s">
        <v>510</v>
      </c>
      <c r="B496" s="2" t="s">
        <v>9</v>
      </c>
      <c r="C496" s="3">
        <v>44971</v>
      </c>
      <c r="D496" s="3">
        <v>44972</v>
      </c>
      <c r="E496" s="2" t="s">
        <v>15</v>
      </c>
      <c r="F496" s="2" t="s">
        <v>7</v>
      </c>
      <c r="G496" s="2">
        <v>903</v>
      </c>
      <c r="H496" s="2">
        <v>66.53</v>
      </c>
      <c r="I496" s="2">
        <v>60.15</v>
      </c>
      <c r="J496" s="2">
        <v>29</v>
      </c>
      <c r="K496" s="2" t="s">
        <v>4</v>
      </c>
      <c r="L496" s="2" t="str">
        <f t="shared" si="7"/>
        <v>Delivered</v>
      </c>
      <c r="M496" t="str" cm="1">
        <f t="array" ref="M496">_xlfn.IFS(B496="Alpha_Inc","S001", B496="Delta_Logistics","S002", B496="Gamma_Co","S003", B496="Beta_Supplies","S004", B496="Epsilon_Group","S005")</f>
        <v>S003</v>
      </c>
      <c r="N496" t="str" cm="1">
        <f t="array" ref="N496">_xlfn.IFS(E496="Electronics","P001", E496="MRO","P002", E496="Office Supplies","P003", E496="Packaging","P004", E496="Raw Materials","P005")</f>
        <v>P005</v>
      </c>
    </row>
    <row r="497" spans="1:14" x14ac:dyDescent="0.2">
      <c r="A497" s="4" t="s">
        <v>511</v>
      </c>
      <c r="B497" s="5" t="s">
        <v>18</v>
      </c>
      <c r="C497" s="6">
        <v>45257</v>
      </c>
      <c r="D497" s="6">
        <f>Table1[[#This Row],[Order_Date]]+14</f>
        <v>45271</v>
      </c>
      <c r="E497" s="5" t="s">
        <v>13</v>
      </c>
      <c r="F497" s="5" t="s">
        <v>3</v>
      </c>
      <c r="G497" s="5">
        <v>1736</v>
      </c>
      <c r="H497" s="5">
        <v>53.2</v>
      </c>
      <c r="I497" s="5">
        <v>50.68</v>
      </c>
      <c r="J497" s="5">
        <v>48</v>
      </c>
      <c r="K497" s="5" t="s">
        <v>4</v>
      </c>
      <c r="L497" s="5" t="str">
        <f t="shared" si="7"/>
        <v>Cancelled</v>
      </c>
      <c r="M497" t="str" cm="1">
        <f t="array" ref="M497">_xlfn.IFS(B497="Alpha_Inc","S001", B497="Delta_Logistics","S002", B497="Gamma_Co","S003", B497="Beta_Supplies","S004", B497="Epsilon_Group","S005")</f>
        <v>S005</v>
      </c>
      <c r="N497" t="str" cm="1">
        <f t="array" ref="N497">_xlfn.IFS(E497="Electronics","P001", E497="MRO","P002", E497="Office Supplies","P003", E497="Packaging","P004", E497="Raw Materials","P005")</f>
        <v>P004</v>
      </c>
    </row>
    <row r="498" spans="1:14" x14ac:dyDescent="0.2">
      <c r="A498" s="1" t="s">
        <v>512</v>
      </c>
      <c r="B498" s="2" t="s">
        <v>12</v>
      </c>
      <c r="C498" s="3">
        <v>45111</v>
      </c>
      <c r="D498" s="3">
        <v>45118</v>
      </c>
      <c r="E498" s="2" t="s">
        <v>10</v>
      </c>
      <c r="F498" s="2" t="s">
        <v>7</v>
      </c>
      <c r="G498" s="2">
        <v>1011</v>
      </c>
      <c r="H498" s="2">
        <v>98.47</v>
      </c>
      <c r="I498" s="2">
        <v>97.06</v>
      </c>
      <c r="J498" s="2">
        <v>91</v>
      </c>
      <c r="K498" s="2" t="s">
        <v>4</v>
      </c>
      <c r="L498" s="2" t="str">
        <f t="shared" si="7"/>
        <v>Delivered</v>
      </c>
      <c r="M498" t="str" cm="1">
        <f t="array" ref="M498">_xlfn.IFS(B498="Alpha_Inc","S001", B498="Delta_Logistics","S002", B498="Gamma_Co","S003", B498="Beta_Supplies","S004", B498="Epsilon_Group","S005")</f>
        <v>S004</v>
      </c>
      <c r="N498" t="str" cm="1">
        <f t="array" ref="N498">_xlfn.IFS(E498="Electronics","P001", E498="MRO","P002", E498="Office Supplies","P003", E498="Packaging","P004", E498="Raw Materials","P005")</f>
        <v>P002</v>
      </c>
    </row>
    <row r="499" spans="1:14" x14ac:dyDescent="0.2">
      <c r="A499" s="4" t="s">
        <v>513</v>
      </c>
      <c r="B499" s="5" t="s">
        <v>6</v>
      </c>
      <c r="C499" s="6">
        <v>44901</v>
      </c>
      <c r="D499" s="6">
        <v>44919</v>
      </c>
      <c r="E499" s="5" t="s">
        <v>28</v>
      </c>
      <c r="F499" s="5" t="s">
        <v>7</v>
      </c>
      <c r="G499" s="5">
        <v>1712</v>
      </c>
      <c r="H499" s="5">
        <v>88.17</v>
      </c>
      <c r="I499" s="5">
        <v>85.86</v>
      </c>
      <c r="J499" s="5">
        <v>246</v>
      </c>
      <c r="K499" s="5" t="s">
        <v>4</v>
      </c>
      <c r="L499" s="5" t="str">
        <f t="shared" si="7"/>
        <v>Delivered</v>
      </c>
      <c r="M499" t="str" cm="1">
        <f t="array" ref="M499">_xlfn.IFS(B499="Alpha_Inc","S001", B499="Delta_Logistics","S002", B499="Gamma_Co","S003", B499="Beta_Supplies","S004", B499="Epsilon_Group","S005")</f>
        <v>S002</v>
      </c>
      <c r="N499" t="str" cm="1">
        <f t="array" ref="N499">_xlfn.IFS(E499="Electronics","P001", E499="MRO","P002", E499="Office Supplies","P003", E499="Packaging","P004", E499="Raw Materials","P005")</f>
        <v>P001</v>
      </c>
    </row>
    <row r="500" spans="1:14" x14ac:dyDescent="0.2">
      <c r="A500" s="1" t="s">
        <v>514</v>
      </c>
      <c r="B500" s="2" t="s">
        <v>9</v>
      </c>
      <c r="C500" s="3">
        <v>44590</v>
      </c>
      <c r="D500" s="3">
        <f>Table1[[#This Row],[Order_Date]]+14</f>
        <v>44604</v>
      </c>
      <c r="E500" s="2" t="s">
        <v>2</v>
      </c>
      <c r="F500" s="2" t="s">
        <v>7</v>
      </c>
      <c r="G500" s="2">
        <v>204</v>
      </c>
      <c r="H500" s="2">
        <v>40.76</v>
      </c>
      <c r="I500" s="2">
        <v>37.46</v>
      </c>
      <c r="J500" s="2">
        <v>10</v>
      </c>
      <c r="K500" s="2" t="s">
        <v>4</v>
      </c>
      <c r="L500" s="2" t="str">
        <f t="shared" si="7"/>
        <v>Delivered</v>
      </c>
      <c r="M500" t="str" cm="1">
        <f t="array" ref="M500">_xlfn.IFS(B500="Alpha_Inc","S001", B500="Delta_Logistics","S002", B500="Gamma_Co","S003", B500="Beta_Supplies","S004", B500="Epsilon_Group","S005")</f>
        <v>S003</v>
      </c>
      <c r="N500" t="str" cm="1">
        <f t="array" ref="N500">_xlfn.IFS(E500="Electronics","P001", E500="MRO","P002", E500="Office Supplies","P003", E500="Packaging","P004", E500="Raw Materials","P005")</f>
        <v>P003</v>
      </c>
    </row>
    <row r="501" spans="1:14" x14ac:dyDescent="0.2">
      <c r="A501" s="4" t="s">
        <v>515</v>
      </c>
      <c r="B501" s="5" t="s">
        <v>12</v>
      </c>
      <c r="C501" s="6">
        <v>44680</v>
      </c>
      <c r="D501" s="6">
        <v>44694</v>
      </c>
      <c r="E501" s="5" t="s">
        <v>28</v>
      </c>
      <c r="F501" s="5" t="s">
        <v>22</v>
      </c>
      <c r="G501" s="5">
        <v>539</v>
      </c>
      <c r="H501" s="5">
        <v>33.85</v>
      </c>
      <c r="I501" s="5">
        <v>30.57</v>
      </c>
      <c r="J501" s="5">
        <v>34</v>
      </c>
      <c r="K501" s="5" t="s">
        <v>16</v>
      </c>
      <c r="L501" s="5" t="str">
        <f t="shared" si="7"/>
        <v>Partially Delivered</v>
      </c>
      <c r="M501" t="str" cm="1">
        <f t="array" ref="M501">_xlfn.IFS(B501="Alpha_Inc","S001", B501="Delta_Logistics","S002", B501="Gamma_Co","S003", B501="Beta_Supplies","S004", B501="Epsilon_Group","S005")</f>
        <v>S004</v>
      </c>
      <c r="N501" t="str" cm="1">
        <f t="array" ref="N501">_xlfn.IFS(E501="Electronics","P001", E501="MRO","P002", E501="Office Supplies","P003", E501="Packaging","P004", E501="Raw Materials","P005")</f>
        <v>P001</v>
      </c>
    </row>
    <row r="502" spans="1:14" x14ac:dyDescent="0.2">
      <c r="A502" s="1" t="s">
        <v>516</v>
      </c>
      <c r="B502" s="2" t="s">
        <v>6</v>
      </c>
      <c r="C502" s="3">
        <v>44829</v>
      </c>
      <c r="D502" s="3">
        <v>44839</v>
      </c>
      <c r="E502" s="2" t="s">
        <v>2</v>
      </c>
      <c r="F502" s="2" t="s">
        <v>7</v>
      </c>
      <c r="G502" s="2">
        <v>1459</v>
      </c>
      <c r="H502" s="2">
        <v>45.94</v>
      </c>
      <c r="I502" s="2">
        <v>42.56</v>
      </c>
      <c r="J502" s="2">
        <v>212</v>
      </c>
      <c r="K502" s="2" t="s">
        <v>16</v>
      </c>
      <c r="L502" s="2" t="str">
        <f t="shared" si="7"/>
        <v>Delivered</v>
      </c>
      <c r="M502" t="str" cm="1">
        <f t="array" ref="M502">_xlfn.IFS(B502="Alpha_Inc","S001", B502="Delta_Logistics","S002", B502="Gamma_Co","S003", B502="Beta_Supplies","S004", B502="Epsilon_Group","S005")</f>
        <v>S002</v>
      </c>
      <c r="N502" t="str" cm="1">
        <f t="array" ref="N502">_xlfn.IFS(E502="Electronics","P001", E502="MRO","P002", E502="Office Supplies","P003", E502="Packaging","P004", E502="Raw Materials","P005")</f>
        <v>P003</v>
      </c>
    </row>
    <row r="503" spans="1:14" x14ac:dyDescent="0.2">
      <c r="A503" s="4" t="s">
        <v>517</v>
      </c>
      <c r="B503" s="5" t="s">
        <v>9</v>
      </c>
      <c r="C503" s="6">
        <v>44744</v>
      </c>
      <c r="D503" s="6">
        <v>44748</v>
      </c>
      <c r="E503" s="5" t="s">
        <v>10</v>
      </c>
      <c r="F503" s="5" t="s">
        <v>7</v>
      </c>
      <c r="G503" s="5">
        <v>834</v>
      </c>
      <c r="H503" s="5">
        <v>65.02</v>
      </c>
      <c r="I503" s="5">
        <v>56.19</v>
      </c>
      <c r="J503" s="5">
        <v>0</v>
      </c>
      <c r="K503" s="5" t="s">
        <v>4</v>
      </c>
      <c r="L503" s="5" t="str">
        <f t="shared" si="7"/>
        <v>Delivered</v>
      </c>
      <c r="M503" t="str" cm="1">
        <f t="array" ref="M503">_xlfn.IFS(B503="Alpha_Inc","S001", B503="Delta_Logistics","S002", B503="Gamma_Co","S003", B503="Beta_Supplies","S004", B503="Epsilon_Group","S005")</f>
        <v>S003</v>
      </c>
      <c r="N503" t="str" cm="1">
        <f t="array" ref="N503">_xlfn.IFS(E503="Electronics","P001", E503="MRO","P002", E503="Office Supplies","P003", E503="Packaging","P004", E503="Raw Materials","P005")</f>
        <v>P002</v>
      </c>
    </row>
    <row r="504" spans="1:14" x14ac:dyDescent="0.2">
      <c r="A504" s="1" t="s">
        <v>518</v>
      </c>
      <c r="B504" s="2" t="s">
        <v>9</v>
      </c>
      <c r="C504" s="3">
        <v>45156</v>
      </c>
      <c r="D504" s="3">
        <v>45170</v>
      </c>
      <c r="E504" s="2" t="s">
        <v>13</v>
      </c>
      <c r="F504" s="2" t="s">
        <v>22</v>
      </c>
      <c r="G504" s="2">
        <v>1177</v>
      </c>
      <c r="H504" s="2">
        <v>37.369999999999997</v>
      </c>
      <c r="I504" s="2">
        <v>34.270000000000003</v>
      </c>
      <c r="J504" s="2">
        <v>60</v>
      </c>
      <c r="K504" s="2" t="s">
        <v>4</v>
      </c>
      <c r="L504" s="2" t="str">
        <f t="shared" si="7"/>
        <v>Partially Delivered</v>
      </c>
      <c r="M504" t="str" cm="1">
        <f t="array" ref="M504">_xlfn.IFS(B504="Alpha_Inc","S001", B504="Delta_Logistics","S002", B504="Gamma_Co","S003", B504="Beta_Supplies","S004", B504="Epsilon_Group","S005")</f>
        <v>S003</v>
      </c>
      <c r="N504" t="str" cm="1">
        <f t="array" ref="N504">_xlfn.IFS(E504="Electronics","P001", E504="MRO","P002", E504="Office Supplies","P003", E504="Packaging","P004", E504="Raw Materials","P005")</f>
        <v>P004</v>
      </c>
    </row>
    <row r="505" spans="1:14" x14ac:dyDescent="0.2">
      <c r="A505" s="4" t="s">
        <v>519</v>
      </c>
      <c r="B505" s="5" t="s">
        <v>6</v>
      </c>
      <c r="C505" s="6">
        <v>44833</v>
      </c>
      <c r="D505" s="6">
        <v>44853</v>
      </c>
      <c r="E505" s="5" t="s">
        <v>10</v>
      </c>
      <c r="F505" s="5" t="s">
        <v>7</v>
      </c>
      <c r="G505" s="5">
        <v>1466</v>
      </c>
      <c r="H505" s="5">
        <v>68.819999999999993</v>
      </c>
      <c r="I505" s="5">
        <v>66.819999999999993</v>
      </c>
      <c r="J505" s="5">
        <v>211</v>
      </c>
      <c r="K505" s="5" t="s">
        <v>4</v>
      </c>
      <c r="L505" s="5" t="str">
        <f t="shared" si="7"/>
        <v>Delivered</v>
      </c>
      <c r="M505" t="str" cm="1">
        <f t="array" ref="M505">_xlfn.IFS(B505="Alpha_Inc","S001", B505="Delta_Logistics","S002", B505="Gamma_Co","S003", B505="Beta_Supplies","S004", B505="Epsilon_Group","S005")</f>
        <v>S002</v>
      </c>
      <c r="N505" t="str" cm="1">
        <f t="array" ref="N505">_xlfn.IFS(E505="Electronics","P001", E505="MRO","P002", E505="Office Supplies","P003", E505="Packaging","P004", E505="Raw Materials","P005")</f>
        <v>P002</v>
      </c>
    </row>
    <row r="506" spans="1:14" x14ac:dyDescent="0.2">
      <c r="A506" s="1" t="s">
        <v>520</v>
      </c>
      <c r="B506" s="2" t="s">
        <v>18</v>
      </c>
      <c r="C506" s="3">
        <v>44601</v>
      </c>
      <c r="D506" s="3">
        <v>44605</v>
      </c>
      <c r="E506" s="2" t="s">
        <v>28</v>
      </c>
      <c r="F506" s="2" t="s">
        <v>7</v>
      </c>
      <c r="G506" s="2">
        <v>1884</v>
      </c>
      <c r="H506" s="2">
        <v>47.08</v>
      </c>
      <c r="I506" s="2">
        <v>44.31</v>
      </c>
      <c r="J506" s="2">
        <v>54</v>
      </c>
      <c r="K506" s="2" t="s">
        <v>4</v>
      </c>
      <c r="L506" s="2" t="str">
        <f t="shared" si="7"/>
        <v>Delivered</v>
      </c>
      <c r="M506" t="str" cm="1">
        <f t="array" ref="M506">_xlfn.IFS(B506="Alpha_Inc","S001", B506="Delta_Logistics","S002", B506="Gamma_Co","S003", B506="Beta_Supplies","S004", B506="Epsilon_Group","S005")</f>
        <v>S005</v>
      </c>
      <c r="N506" t="str" cm="1">
        <f t="array" ref="N506">_xlfn.IFS(E506="Electronics","P001", E506="MRO","P002", E506="Office Supplies","P003", E506="Packaging","P004", E506="Raw Materials","P005")</f>
        <v>P001</v>
      </c>
    </row>
    <row r="507" spans="1:14" x14ac:dyDescent="0.2">
      <c r="A507" s="4" t="s">
        <v>521</v>
      </c>
      <c r="B507" s="5" t="s">
        <v>12</v>
      </c>
      <c r="C507" s="6">
        <v>44673</v>
      </c>
      <c r="D507" s="6">
        <v>44689</v>
      </c>
      <c r="E507" s="5" t="s">
        <v>28</v>
      </c>
      <c r="F507" s="5" t="s">
        <v>7</v>
      </c>
      <c r="G507" s="5">
        <v>295</v>
      </c>
      <c r="H507" s="5">
        <v>60.58</v>
      </c>
      <c r="I507" s="5">
        <v>57.32</v>
      </c>
      <c r="J507" s="5">
        <v>31</v>
      </c>
      <c r="K507" s="5" t="s">
        <v>4</v>
      </c>
      <c r="L507" s="5" t="str">
        <f t="shared" si="7"/>
        <v>Delivered</v>
      </c>
      <c r="M507" t="str" cm="1">
        <f t="array" ref="M507">_xlfn.IFS(B507="Alpha_Inc","S001", B507="Delta_Logistics","S002", B507="Gamma_Co","S003", B507="Beta_Supplies","S004", B507="Epsilon_Group","S005")</f>
        <v>S004</v>
      </c>
      <c r="N507" t="str" cm="1">
        <f t="array" ref="N507">_xlfn.IFS(E507="Electronics","P001", E507="MRO","P002", E507="Office Supplies","P003", E507="Packaging","P004", E507="Raw Materials","P005")</f>
        <v>P001</v>
      </c>
    </row>
    <row r="508" spans="1:14" x14ac:dyDescent="0.2">
      <c r="A508" s="1" t="s">
        <v>522</v>
      </c>
      <c r="B508" s="2" t="s">
        <v>9</v>
      </c>
      <c r="C508" s="3">
        <v>45172</v>
      </c>
      <c r="D508" s="3">
        <v>45173</v>
      </c>
      <c r="E508" s="2" t="s">
        <v>15</v>
      </c>
      <c r="F508" s="2" t="s">
        <v>7</v>
      </c>
      <c r="G508" s="2">
        <v>1249</v>
      </c>
      <c r="H508" s="2">
        <v>54.18</v>
      </c>
      <c r="I508" s="2">
        <v>47.29</v>
      </c>
      <c r="J508" s="2">
        <v>59</v>
      </c>
      <c r="K508" s="2" t="s">
        <v>4</v>
      </c>
      <c r="L508" s="2" t="str">
        <f t="shared" si="7"/>
        <v>Delivered</v>
      </c>
      <c r="M508" t="str" cm="1">
        <f t="array" ref="M508">_xlfn.IFS(B508="Alpha_Inc","S001", B508="Delta_Logistics","S002", B508="Gamma_Co","S003", B508="Beta_Supplies","S004", B508="Epsilon_Group","S005")</f>
        <v>S003</v>
      </c>
      <c r="N508" t="str" cm="1">
        <f t="array" ref="N508">_xlfn.IFS(E508="Electronics","P001", E508="MRO","P002", E508="Office Supplies","P003", E508="Packaging","P004", E508="Raw Materials","P005")</f>
        <v>P005</v>
      </c>
    </row>
    <row r="509" spans="1:14" x14ac:dyDescent="0.2">
      <c r="A509" s="4" t="s">
        <v>523</v>
      </c>
      <c r="B509" s="5" t="s">
        <v>6</v>
      </c>
      <c r="C509" s="6">
        <v>45006</v>
      </c>
      <c r="D509" s="6">
        <v>45025</v>
      </c>
      <c r="E509" s="5" t="s">
        <v>15</v>
      </c>
      <c r="F509" s="5" t="s">
        <v>7</v>
      </c>
      <c r="G509" s="5">
        <v>1112</v>
      </c>
      <c r="H509" s="5">
        <v>39.06</v>
      </c>
      <c r="I509" s="5">
        <v>33.6</v>
      </c>
      <c r="J509" s="5">
        <v>184</v>
      </c>
      <c r="K509" s="5" t="s">
        <v>16</v>
      </c>
      <c r="L509" s="5" t="str">
        <f t="shared" si="7"/>
        <v>Delivered</v>
      </c>
      <c r="M509" t="str" cm="1">
        <f t="array" ref="M509">_xlfn.IFS(B509="Alpha_Inc","S001", B509="Delta_Logistics","S002", B509="Gamma_Co","S003", B509="Beta_Supplies","S004", B509="Epsilon_Group","S005")</f>
        <v>S002</v>
      </c>
      <c r="N509" t="str" cm="1">
        <f t="array" ref="N509">_xlfn.IFS(E509="Electronics","P001", E509="MRO","P002", E509="Office Supplies","P003", E509="Packaging","P004", E509="Raw Materials","P005")</f>
        <v>P005</v>
      </c>
    </row>
    <row r="510" spans="1:14" x14ac:dyDescent="0.2">
      <c r="A510" s="1" t="s">
        <v>524</v>
      </c>
      <c r="B510" s="2" t="s">
        <v>9</v>
      </c>
      <c r="C510" s="3">
        <v>44915</v>
      </c>
      <c r="D510" s="3">
        <v>44920</v>
      </c>
      <c r="E510" s="2" t="s">
        <v>2</v>
      </c>
      <c r="F510" s="2" t="s">
        <v>7</v>
      </c>
      <c r="G510" s="2">
        <v>1550</v>
      </c>
      <c r="H510" s="2">
        <v>100.61</v>
      </c>
      <c r="I510" s="2">
        <v>97.43</v>
      </c>
      <c r="J510" s="2">
        <v>66</v>
      </c>
      <c r="K510" s="2" t="s">
        <v>4</v>
      </c>
      <c r="L510" s="2" t="str">
        <f t="shared" si="7"/>
        <v>Delivered</v>
      </c>
      <c r="M510" t="str" cm="1">
        <f t="array" ref="M510">_xlfn.IFS(B510="Alpha_Inc","S001", B510="Delta_Logistics","S002", B510="Gamma_Co","S003", B510="Beta_Supplies","S004", B510="Epsilon_Group","S005")</f>
        <v>S003</v>
      </c>
      <c r="N510" t="str" cm="1">
        <f t="array" ref="N510">_xlfn.IFS(E510="Electronics","P001", E510="MRO","P002", E510="Office Supplies","P003", E510="Packaging","P004", E510="Raw Materials","P005")</f>
        <v>P003</v>
      </c>
    </row>
    <row r="511" spans="1:14" x14ac:dyDescent="0.2">
      <c r="A511" s="4" t="s">
        <v>525</v>
      </c>
      <c r="B511" s="5" t="s">
        <v>6</v>
      </c>
      <c r="C511" s="6">
        <v>44883</v>
      </c>
      <c r="D511" s="6">
        <v>44884</v>
      </c>
      <c r="E511" s="5" t="s">
        <v>28</v>
      </c>
      <c r="F511" s="5" t="s">
        <v>7</v>
      </c>
      <c r="G511" s="5">
        <v>1755</v>
      </c>
      <c r="H511" s="5">
        <v>82.66</v>
      </c>
      <c r="I511" s="5">
        <v>73.67</v>
      </c>
      <c r="J511" s="5">
        <v>258</v>
      </c>
      <c r="K511" s="5" t="s">
        <v>16</v>
      </c>
      <c r="L511" s="5" t="str">
        <f t="shared" si="7"/>
        <v>Delivered</v>
      </c>
      <c r="M511" t="str" cm="1">
        <f t="array" ref="M511">_xlfn.IFS(B511="Alpha_Inc","S001", B511="Delta_Logistics","S002", B511="Gamma_Co","S003", B511="Beta_Supplies","S004", B511="Epsilon_Group","S005")</f>
        <v>S002</v>
      </c>
      <c r="N511" t="str" cm="1">
        <f t="array" ref="N511">_xlfn.IFS(E511="Electronics","P001", E511="MRO","P002", E511="Office Supplies","P003", E511="Packaging","P004", E511="Raw Materials","P005")</f>
        <v>P001</v>
      </c>
    </row>
    <row r="512" spans="1:14" x14ac:dyDescent="0.2">
      <c r="A512" s="1" t="s">
        <v>526</v>
      </c>
      <c r="B512" s="2" t="s">
        <v>9</v>
      </c>
      <c r="C512" s="3">
        <v>45008</v>
      </c>
      <c r="D512" s="3">
        <v>45016</v>
      </c>
      <c r="E512" s="2" t="s">
        <v>15</v>
      </c>
      <c r="F512" s="2" t="s">
        <v>7</v>
      </c>
      <c r="G512" s="2">
        <v>808</v>
      </c>
      <c r="H512" s="2">
        <v>24.19</v>
      </c>
      <c r="I512" s="2">
        <v>21.64</v>
      </c>
      <c r="J512" s="2">
        <v>39</v>
      </c>
      <c r="K512" s="2" t="s">
        <v>4</v>
      </c>
      <c r="L512" s="2" t="str">
        <f t="shared" si="7"/>
        <v>Delivered</v>
      </c>
      <c r="M512" t="str" cm="1">
        <f t="array" ref="M512">_xlfn.IFS(B512="Alpha_Inc","S001", B512="Delta_Logistics","S002", B512="Gamma_Co","S003", B512="Beta_Supplies","S004", B512="Epsilon_Group","S005")</f>
        <v>S003</v>
      </c>
      <c r="N512" t="str" cm="1">
        <f t="array" ref="N512">_xlfn.IFS(E512="Electronics","P001", E512="MRO","P002", E512="Office Supplies","P003", E512="Packaging","P004", E512="Raw Materials","P005")</f>
        <v>P005</v>
      </c>
    </row>
    <row r="513" spans="1:14" x14ac:dyDescent="0.2">
      <c r="A513" s="4" t="s">
        <v>527</v>
      </c>
      <c r="B513" s="5" t="s">
        <v>1</v>
      </c>
      <c r="C513" s="6">
        <v>45182</v>
      </c>
      <c r="D513" s="6">
        <v>45188</v>
      </c>
      <c r="E513" s="5" t="s">
        <v>15</v>
      </c>
      <c r="F513" s="5" t="s">
        <v>22</v>
      </c>
      <c r="G513" s="5">
        <v>587</v>
      </c>
      <c r="H513" s="5">
        <v>96.98</v>
      </c>
      <c r="I513" s="5">
        <v>95.35</v>
      </c>
      <c r="J513" s="5">
        <v>14</v>
      </c>
      <c r="K513" s="5" t="s">
        <v>4</v>
      </c>
      <c r="L513" s="5" t="str">
        <f t="shared" si="7"/>
        <v>Partially Delivered</v>
      </c>
      <c r="M513" t="str" cm="1">
        <f t="array" ref="M513">_xlfn.IFS(B513="Alpha_Inc","S001", B513="Delta_Logistics","S002", B513="Gamma_Co","S003", B513="Beta_Supplies","S004", B513="Epsilon_Group","S005")</f>
        <v>S001</v>
      </c>
      <c r="N513" t="str" cm="1">
        <f t="array" ref="N513">_xlfn.IFS(E513="Electronics","P001", E513="MRO","P002", E513="Office Supplies","P003", E513="Packaging","P004", E513="Raw Materials","P005")</f>
        <v>P005</v>
      </c>
    </row>
    <row r="514" spans="1:14" x14ac:dyDescent="0.2">
      <c r="A514" s="1" t="s">
        <v>528</v>
      </c>
      <c r="B514" s="2" t="s">
        <v>18</v>
      </c>
      <c r="C514" s="3">
        <v>45085</v>
      </c>
      <c r="D514" s="3">
        <v>45088</v>
      </c>
      <c r="E514" s="2" t="s">
        <v>10</v>
      </c>
      <c r="F514" s="2" t="s">
        <v>7</v>
      </c>
      <c r="G514" s="2">
        <v>1940</v>
      </c>
      <c r="H514" s="2">
        <v>58.45</v>
      </c>
      <c r="I514" s="2">
        <v>50.29</v>
      </c>
      <c r="J514" s="2">
        <v>54</v>
      </c>
      <c r="K514" s="2" t="s">
        <v>4</v>
      </c>
      <c r="L514" s="2" t="str">
        <f t="shared" ref="L514:L577" si="8">IF(F514="Delivered", IF(E514="","Date Missing","Delivered"), F514)</f>
        <v>Delivered</v>
      </c>
      <c r="M514" t="str" cm="1">
        <f t="array" ref="M514">_xlfn.IFS(B514="Alpha_Inc","S001", B514="Delta_Logistics","S002", B514="Gamma_Co","S003", B514="Beta_Supplies","S004", B514="Epsilon_Group","S005")</f>
        <v>S005</v>
      </c>
      <c r="N514" t="str" cm="1">
        <f t="array" ref="N514">_xlfn.IFS(E514="Electronics","P001", E514="MRO","P002", E514="Office Supplies","P003", E514="Packaging","P004", E514="Raw Materials","P005")</f>
        <v>P002</v>
      </c>
    </row>
    <row r="515" spans="1:14" x14ac:dyDescent="0.2">
      <c r="A515" s="4" t="s">
        <v>529</v>
      </c>
      <c r="B515" s="5" t="s">
        <v>12</v>
      </c>
      <c r="C515" s="6">
        <v>44680</v>
      </c>
      <c r="D515" s="6">
        <v>44692</v>
      </c>
      <c r="E515" s="5" t="s">
        <v>2</v>
      </c>
      <c r="F515" s="5" t="s">
        <v>3</v>
      </c>
      <c r="G515" s="5">
        <v>1891</v>
      </c>
      <c r="H515" s="5">
        <v>91.87</v>
      </c>
      <c r="I515" s="5">
        <v>80.28</v>
      </c>
      <c r="J515" s="5">
        <v>158</v>
      </c>
      <c r="K515" s="5" t="s">
        <v>4</v>
      </c>
      <c r="L515" s="5" t="str">
        <f t="shared" si="8"/>
        <v>Cancelled</v>
      </c>
      <c r="M515" t="str" cm="1">
        <f t="array" ref="M515">_xlfn.IFS(B515="Alpha_Inc","S001", B515="Delta_Logistics","S002", B515="Gamma_Co","S003", B515="Beta_Supplies","S004", B515="Epsilon_Group","S005")</f>
        <v>S004</v>
      </c>
      <c r="N515" t="str" cm="1">
        <f t="array" ref="N515">_xlfn.IFS(E515="Electronics","P001", E515="MRO","P002", E515="Office Supplies","P003", E515="Packaging","P004", E515="Raw Materials","P005")</f>
        <v>P003</v>
      </c>
    </row>
    <row r="516" spans="1:14" x14ac:dyDescent="0.2">
      <c r="A516" s="1" t="s">
        <v>530</v>
      </c>
      <c r="B516" s="2" t="s">
        <v>18</v>
      </c>
      <c r="C516" s="3">
        <v>44956</v>
      </c>
      <c r="D516" s="3">
        <v>44973</v>
      </c>
      <c r="E516" s="2" t="s">
        <v>13</v>
      </c>
      <c r="F516" s="2" t="s">
        <v>7</v>
      </c>
      <c r="G516" s="2">
        <v>970</v>
      </c>
      <c r="H516" s="2">
        <v>86.91</v>
      </c>
      <c r="I516" s="2">
        <v>78.44</v>
      </c>
      <c r="J516" s="2">
        <v>18</v>
      </c>
      <c r="K516" s="2" t="s">
        <v>4</v>
      </c>
      <c r="L516" s="2" t="str">
        <f t="shared" si="8"/>
        <v>Delivered</v>
      </c>
      <c r="M516" t="str" cm="1">
        <f t="array" ref="M516">_xlfn.IFS(B516="Alpha_Inc","S001", B516="Delta_Logistics","S002", B516="Gamma_Co","S003", B516="Beta_Supplies","S004", B516="Epsilon_Group","S005")</f>
        <v>S005</v>
      </c>
      <c r="N516" t="str" cm="1">
        <f t="array" ref="N516">_xlfn.IFS(E516="Electronics","P001", E516="MRO","P002", E516="Office Supplies","P003", E516="Packaging","P004", E516="Raw Materials","P005")</f>
        <v>P004</v>
      </c>
    </row>
    <row r="517" spans="1:14" x14ac:dyDescent="0.2">
      <c r="A517" s="4" t="s">
        <v>531</v>
      </c>
      <c r="B517" s="5" t="s">
        <v>18</v>
      </c>
      <c r="C517" s="6">
        <v>45152</v>
      </c>
      <c r="D517" s="6">
        <v>45169</v>
      </c>
      <c r="E517" s="5" t="s">
        <v>10</v>
      </c>
      <c r="F517" s="5" t="s">
        <v>7</v>
      </c>
      <c r="G517" s="5">
        <v>457</v>
      </c>
      <c r="H517" s="5">
        <v>52.85</v>
      </c>
      <c r="I517" s="5">
        <v>50.34</v>
      </c>
      <c r="J517" s="5">
        <v>16</v>
      </c>
      <c r="K517" s="5" t="s">
        <v>4</v>
      </c>
      <c r="L517" s="5" t="str">
        <f t="shared" si="8"/>
        <v>Delivered</v>
      </c>
      <c r="M517" t="str" cm="1">
        <f t="array" ref="M517">_xlfn.IFS(B517="Alpha_Inc","S001", B517="Delta_Logistics","S002", B517="Gamma_Co","S003", B517="Beta_Supplies","S004", B517="Epsilon_Group","S005")</f>
        <v>S005</v>
      </c>
      <c r="N517" t="str" cm="1">
        <f t="array" ref="N517">_xlfn.IFS(E517="Electronics","P001", E517="MRO","P002", E517="Office Supplies","P003", E517="Packaging","P004", E517="Raw Materials","P005")</f>
        <v>P002</v>
      </c>
    </row>
    <row r="518" spans="1:14" x14ac:dyDescent="0.2">
      <c r="A518" s="1" t="s">
        <v>532</v>
      </c>
      <c r="B518" s="2" t="s">
        <v>12</v>
      </c>
      <c r="C518" s="3">
        <v>44756</v>
      </c>
      <c r="D518" s="3">
        <v>44769</v>
      </c>
      <c r="E518" s="2" t="s">
        <v>2</v>
      </c>
      <c r="F518" s="2" t="s">
        <v>3</v>
      </c>
      <c r="G518" s="2">
        <v>574</v>
      </c>
      <c r="H518" s="2">
        <v>12.38</v>
      </c>
      <c r="I518" s="2">
        <v>11.47</v>
      </c>
      <c r="J518" s="2">
        <v>0</v>
      </c>
      <c r="K518" s="2" t="s">
        <v>16</v>
      </c>
      <c r="L518" s="2" t="str">
        <f t="shared" si="8"/>
        <v>Cancelled</v>
      </c>
      <c r="M518" t="str" cm="1">
        <f t="array" ref="M518">_xlfn.IFS(B518="Alpha_Inc","S001", B518="Delta_Logistics","S002", B518="Gamma_Co","S003", B518="Beta_Supplies","S004", B518="Epsilon_Group","S005")</f>
        <v>S004</v>
      </c>
      <c r="N518" t="str" cm="1">
        <f t="array" ref="N518">_xlfn.IFS(E518="Electronics","P001", E518="MRO","P002", E518="Office Supplies","P003", E518="Packaging","P004", E518="Raw Materials","P005")</f>
        <v>P003</v>
      </c>
    </row>
    <row r="519" spans="1:14" x14ac:dyDescent="0.2">
      <c r="A519" s="4" t="s">
        <v>533</v>
      </c>
      <c r="B519" s="5" t="s">
        <v>18</v>
      </c>
      <c r="C519" s="6">
        <v>44822</v>
      </c>
      <c r="D519" s="6">
        <v>44824</v>
      </c>
      <c r="E519" s="5" t="s">
        <v>2</v>
      </c>
      <c r="F519" s="5" t="s">
        <v>7</v>
      </c>
      <c r="G519" s="5">
        <v>877</v>
      </c>
      <c r="H519" s="5">
        <v>35.549999999999997</v>
      </c>
      <c r="I519" s="5">
        <v>34.69</v>
      </c>
      <c r="J519" s="5">
        <v>24</v>
      </c>
      <c r="K519" s="5" t="s">
        <v>4</v>
      </c>
      <c r="L519" s="5" t="str">
        <f t="shared" si="8"/>
        <v>Delivered</v>
      </c>
      <c r="M519" t="str" cm="1">
        <f t="array" ref="M519">_xlfn.IFS(B519="Alpha_Inc","S001", B519="Delta_Logistics","S002", B519="Gamma_Co","S003", B519="Beta_Supplies","S004", B519="Epsilon_Group","S005")</f>
        <v>S005</v>
      </c>
      <c r="N519" t="str" cm="1">
        <f t="array" ref="N519">_xlfn.IFS(E519="Electronics","P001", E519="MRO","P002", E519="Office Supplies","P003", E519="Packaging","P004", E519="Raw Materials","P005")</f>
        <v>P003</v>
      </c>
    </row>
    <row r="520" spans="1:14" x14ac:dyDescent="0.2">
      <c r="A520" s="1" t="s">
        <v>534</v>
      </c>
      <c r="B520" s="2" t="s">
        <v>1</v>
      </c>
      <c r="C520" s="3">
        <v>44607</v>
      </c>
      <c r="D520" s="3">
        <v>44619</v>
      </c>
      <c r="E520" s="2" t="s">
        <v>10</v>
      </c>
      <c r="F520" s="2" t="s">
        <v>7</v>
      </c>
      <c r="G520" s="2">
        <v>1579</v>
      </c>
      <c r="H520" s="2">
        <v>59.04</v>
      </c>
      <c r="I520" s="2">
        <v>50.95</v>
      </c>
      <c r="J520" s="2">
        <v>29</v>
      </c>
      <c r="K520" s="2" t="s">
        <v>4</v>
      </c>
      <c r="L520" s="2" t="str">
        <f t="shared" si="8"/>
        <v>Delivered</v>
      </c>
      <c r="M520" t="str" cm="1">
        <f t="array" ref="M520">_xlfn.IFS(B520="Alpha_Inc","S001", B520="Delta_Logistics","S002", B520="Gamma_Co","S003", B520="Beta_Supplies","S004", B520="Epsilon_Group","S005")</f>
        <v>S001</v>
      </c>
      <c r="N520" t="str" cm="1">
        <f t="array" ref="N520">_xlfn.IFS(E520="Electronics","P001", E520="MRO","P002", E520="Office Supplies","P003", E520="Packaging","P004", E520="Raw Materials","P005")</f>
        <v>P002</v>
      </c>
    </row>
    <row r="521" spans="1:14" x14ac:dyDescent="0.2">
      <c r="A521" s="4" t="s">
        <v>535</v>
      </c>
      <c r="B521" s="5" t="s">
        <v>6</v>
      </c>
      <c r="C521" s="6">
        <v>45287</v>
      </c>
      <c r="D521" s="6">
        <v>45288</v>
      </c>
      <c r="E521" s="5" t="s">
        <v>15</v>
      </c>
      <c r="F521" s="5" t="s">
        <v>7</v>
      </c>
      <c r="G521" s="5">
        <v>952</v>
      </c>
      <c r="H521" s="5">
        <v>74.72</v>
      </c>
      <c r="I521" s="5">
        <v>69.73</v>
      </c>
      <c r="J521" s="5">
        <v>0</v>
      </c>
      <c r="K521" s="5" t="s">
        <v>4</v>
      </c>
      <c r="L521" s="5" t="str">
        <f t="shared" si="8"/>
        <v>Delivered</v>
      </c>
      <c r="M521" t="str" cm="1">
        <f t="array" ref="M521">_xlfn.IFS(B521="Alpha_Inc","S001", B521="Delta_Logistics","S002", B521="Gamma_Co","S003", B521="Beta_Supplies","S004", B521="Epsilon_Group","S005")</f>
        <v>S002</v>
      </c>
      <c r="N521" t="str" cm="1">
        <f t="array" ref="N521">_xlfn.IFS(E521="Electronics","P001", E521="MRO","P002", E521="Office Supplies","P003", E521="Packaging","P004", E521="Raw Materials","P005")</f>
        <v>P005</v>
      </c>
    </row>
    <row r="522" spans="1:14" x14ac:dyDescent="0.2">
      <c r="A522" s="1" t="s">
        <v>536</v>
      </c>
      <c r="B522" s="2" t="s">
        <v>12</v>
      </c>
      <c r="C522" s="3">
        <v>45008</v>
      </c>
      <c r="D522" s="3">
        <v>45011</v>
      </c>
      <c r="E522" s="2" t="s">
        <v>15</v>
      </c>
      <c r="F522" s="2" t="s">
        <v>24</v>
      </c>
      <c r="G522" s="2">
        <v>1898</v>
      </c>
      <c r="H522" s="2">
        <v>35.53</v>
      </c>
      <c r="I522" s="2">
        <v>33.25</v>
      </c>
      <c r="J522" s="2">
        <v>187</v>
      </c>
      <c r="K522" s="2" t="s">
        <v>4</v>
      </c>
      <c r="L522" s="2" t="str">
        <f t="shared" si="8"/>
        <v>Pending</v>
      </c>
      <c r="M522" t="str" cm="1">
        <f t="array" ref="M522">_xlfn.IFS(B522="Alpha_Inc","S001", B522="Delta_Logistics","S002", B522="Gamma_Co","S003", B522="Beta_Supplies","S004", B522="Epsilon_Group","S005")</f>
        <v>S004</v>
      </c>
      <c r="N522" t="str" cm="1">
        <f t="array" ref="N522">_xlfn.IFS(E522="Electronics","P001", E522="MRO","P002", E522="Office Supplies","P003", E522="Packaging","P004", E522="Raw Materials","P005")</f>
        <v>P005</v>
      </c>
    </row>
    <row r="523" spans="1:14" x14ac:dyDescent="0.2">
      <c r="A523" s="4" t="s">
        <v>537</v>
      </c>
      <c r="B523" s="5" t="s">
        <v>6</v>
      </c>
      <c r="C523" s="6">
        <v>44563</v>
      </c>
      <c r="D523" s="6">
        <v>44567</v>
      </c>
      <c r="E523" s="5" t="s">
        <v>13</v>
      </c>
      <c r="F523" s="5" t="s">
        <v>7</v>
      </c>
      <c r="G523" s="5">
        <v>85</v>
      </c>
      <c r="H523" s="5">
        <v>22.54</v>
      </c>
      <c r="I523" s="5">
        <v>20.68</v>
      </c>
      <c r="J523" s="5">
        <v>6</v>
      </c>
      <c r="K523" s="5" t="s">
        <v>4</v>
      </c>
      <c r="L523" s="5" t="str">
        <f t="shared" si="8"/>
        <v>Delivered</v>
      </c>
      <c r="M523" t="str" cm="1">
        <f t="array" ref="M523">_xlfn.IFS(B523="Alpha_Inc","S001", B523="Delta_Logistics","S002", B523="Gamma_Co","S003", B523="Beta_Supplies","S004", B523="Epsilon_Group","S005")</f>
        <v>S002</v>
      </c>
      <c r="N523" t="str" cm="1">
        <f t="array" ref="N523">_xlfn.IFS(E523="Electronics","P001", E523="MRO","P002", E523="Office Supplies","P003", E523="Packaging","P004", E523="Raw Materials","P005")</f>
        <v>P004</v>
      </c>
    </row>
    <row r="524" spans="1:14" x14ac:dyDescent="0.2">
      <c r="A524" s="1" t="s">
        <v>538</v>
      </c>
      <c r="B524" s="2" t="s">
        <v>9</v>
      </c>
      <c r="C524" s="3">
        <v>45094</v>
      </c>
      <c r="D524" s="3">
        <v>45105</v>
      </c>
      <c r="E524" s="2" t="s">
        <v>13</v>
      </c>
      <c r="F524" s="2" t="s">
        <v>24</v>
      </c>
      <c r="G524" s="2">
        <v>734</v>
      </c>
      <c r="H524" s="2">
        <v>92.38</v>
      </c>
      <c r="I524" s="2">
        <v>78.92</v>
      </c>
      <c r="J524" s="2">
        <v>34</v>
      </c>
      <c r="K524" s="2" t="s">
        <v>16</v>
      </c>
      <c r="L524" s="2" t="str">
        <f t="shared" si="8"/>
        <v>Pending</v>
      </c>
      <c r="M524" t="str" cm="1">
        <f t="array" ref="M524">_xlfn.IFS(B524="Alpha_Inc","S001", B524="Delta_Logistics","S002", B524="Gamma_Co","S003", B524="Beta_Supplies","S004", B524="Epsilon_Group","S005")</f>
        <v>S003</v>
      </c>
      <c r="N524" t="str" cm="1">
        <f t="array" ref="N524">_xlfn.IFS(E524="Electronics","P001", E524="MRO","P002", E524="Office Supplies","P003", E524="Packaging","P004", E524="Raw Materials","P005")</f>
        <v>P004</v>
      </c>
    </row>
    <row r="525" spans="1:14" x14ac:dyDescent="0.2">
      <c r="A525" s="4" t="s">
        <v>539</v>
      </c>
      <c r="B525" s="5" t="s">
        <v>1</v>
      </c>
      <c r="C525" s="6">
        <v>45113</v>
      </c>
      <c r="D525" s="6">
        <v>45125</v>
      </c>
      <c r="E525" s="5" t="s">
        <v>2</v>
      </c>
      <c r="F525" s="5" t="s">
        <v>7</v>
      </c>
      <c r="G525" s="5">
        <v>69</v>
      </c>
      <c r="H525" s="5">
        <v>107.47</v>
      </c>
      <c r="I525" s="5">
        <v>105.53</v>
      </c>
      <c r="J525" s="5">
        <v>0</v>
      </c>
      <c r="K525" s="5" t="s">
        <v>4</v>
      </c>
      <c r="L525" s="5" t="str">
        <f t="shared" si="8"/>
        <v>Delivered</v>
      </c>
      <c r="M525" t="str" cm="1">
        <f t="array" ref="M525">_xlfn.IFS(B525="Alpha_Inc","S001", B525="Delta_Logistics","S002", B525="Gamma_Co","S003", B525="Beta_Supplies","S004", B525="Epsilon_Group","S005")</f>
        <v>S001</v>
      </c>
      <c r="N525" t="str" cm="1">
        <f t="array" ref="N525">_xlfn.IFS(E525="Electronics","P001", E525="MRO","P002", E525="Office Supplies","P003", E525="Packaging","P004", E525="Raw Materials","P005")</f>
        <v>P003</v>
      </c>
    </row>
    <row r="526" spans="1:14" x14ac:dyDescent="0.2">
      <c r="A526" s="1" t="s">
        <v>540</v>
      </c>
      <c r="B526" s="2" t="s">
        <v>6</v>
      </c>
      <c r="C526" s="3">
        <v>45265</v>
      </c>
      <c r="D526" s="3">
        <v>45271</v>
      </c>
      <c r="E526" s="2" t="s">
        <v>13</v>
      </c>
      <c r="F526" s="2" t="s">
        <v>7</v>
      </c>
      <c r="G526" s="2">
        <v>370</v>
      </c>
      <c r="H526" s="2">
        <v>63.9</v>
      </c>
      <c r="I526" s="2">
        <v>55.79</v>
      </c>
      <c r="J526" s="2">
        <v>59</v>
      </c>
      <c r="K526" s="2" t="s">
        <v>4</v>
      </c>
      <c r="L526" s="2" t="str">
        <f t="shared" si="8"/>
        <v>Delivered</v>
      </c>
      <c r="M526" t="str" cm="1">
        <f t="array" ref="M526">_xlfn.IFS(B526="Alpha_Inc","S001", B526="Delta_Logistics","S002", B526="Gamma_Co","S003", B526="Beta_Supplies","S004", B526="Epsilon_Group","S005")</f>
        <v>S002</v>
      </c>
      <c r="N526" t="str" cm="1">
        <f t="array" ref="N526">_xlfn.IFS(E526="Electronics","P001", E526="MRO","P002", E526="Office Supplies","P003", E526="Packaging","P004", E526="Raw Materials","P005")</f>
        <v>P004</v>
      </c>
    </row>
    <row r="527" spans="1:14" x14ac:dyDescent="0.2">
      <c r="A527" s="4" t="s">
        <v>541</v>
      </c>
      <c r="B527" s="5" t="s">
        <v>6</v>
      </c>
      <c r="C527" s="6">
        <v>45248</v>
      </c>
      <c r="D527" s="6">
        <v>45263</v>
      </c>
      <c r="E527" s="5" t="s">
        <v>10</v>
      </c>
      <c r="F527" s="5" t="s">
        <v>7</v>
      </c>
      <c r="G527" s="5">
        <v>1849</v>
      </c>
      <c r="H527" s="5">
        <v>28.25</v>
      </c>
      <c r="I527" s="5">
        <v>27.53</v>
      </c>
      <c r="J527" s="5">
        <v>271</v>
      </c>
      <c r="K527" s="5" t="s">
        <v>4</v>
      </c>
      <c r="L527" s="5" t="str">
        <f t="shared" si="8"/>
        <v>Delivered</v>
      </c>
      <c r="M527" t="str" cm="1">
        <f t="array" ref="M527">_xlfn.IFS(B527="Alpha_Inc","S001", B527="Delta_Logistics","S002", B527="Gamma_Co","S003", B527="Beta_Supplies","S004", B527="Epsilon_Group","S005")</f>
        <v>S002</v>
      </c>
      <c r="N527" t="str" cm="1">
        <f t="array" ref="N527">_xlfn.IFS(E527="Electronics","P001", E527="MRO","P002", E527="Office Supplies","P003", E527="Packaging","P004", E527="Raw Materials","P005")</f>
        <v>P002</v>
      </c>
    </row>
    <row r="528" spans="1:14" x14ac:dyDescent="0.2">
      <c r="A528" s="1" t="s">
        <v>542</v>
      </c>
      <c r="B528" s="2" t="s">
        <v>12</v>
      </c>
      <c r="C528" s="3">
        <v>44763</v>
      </c>
      <c r="D528" s="3">
        <f>Table1[[#This Row],[Order_Date]]+14</f>
        <v>44777</v>
      </c>
      <c r="E528" s="2" t="s">
        <v>13</v>
      </c>
      <c r="F528" s="2" t="s">
        <v>7</v>
      </c>
      <c r="G528" s="2">
        <v>561</v>
      </c>
      <c r="H528" s="2">
        <v>35.54</v>
      </c>
      <c r="I528" s="2">
        <v>30.99</v>
      </c>
      <c r="J528" s="2">
        <v>68</v>
      </c>
      <c r="K528" s="2" t="s">
        <v>16</v>
      </c>
      <c r="L528" s="2" t="str">
        <f t="shared" si="8"/>
        <v>Delivered</v>
      </c>
      <c r="M528" t="str" cm="1">
        <f t="array" ref="M528">_xlfn.IFS(B528="Alpha_Inc","S001", B528="Delta_Logistics","S002", B528="Gamma_Co","S003", B528="Beta_Supplies","S004", B528="Epsilon_Group","S005")</f>
        <v>S004</v>
      </c>
      <c r="N528" t="str" cm="1">
        <f t="array" ref="N528">_xlfn.IFS(E528="Electronics","P001", E528="MRO","P002", E528="Office Supplies","P003", E528="Packaging","P004", E528="Raw Materials","P005")</f>
        <v>P004</v>
      </c>
    </row>
    <row r="529" spans="1:14" x14ac:dyDescent="0.2">
      <c r="A529" s="4" t="s">
        <v>543</v>
      </c>
      <c r="B529" s="5" t="s">
        <v>9</v>
      </c>
      <c r="C529" s="6">
        <v>44934</v>
      </c>
      <c r="D529" s="6">
        <v>44940</v>
      </c>
      <c r="E529" s="5" t="s">
        <v>28</v>
      </c>
      <c r="F529" s="5" t="s">
        <v>7</v>
      </c>
      <c r="G529" s="5">
        <v>449</v>
      </c>
      <c r="H529" s="5">
        <v>12.35</v>
      </c>
      <c r="I529" s="5">
        <v>10.67</v>
      </c>
      <c r="J529" s="5">
        <v>29</v>
      </c>
      <c r="K529" s="5" t="s">
        <v>4</v>
      </c>
      <c r="L529" s="5" t="str">
        <f t="shared" si="8"/>
        <v>Delivered</v>
      </c>
      <c r="M529" t="str" cm="1">
        <f t="array" ref="M529">_xlfn.IFS(B529="Alpha_Inc","S001", B529="Delta_Logistics","S002", B529="Gamma_Co","S003", B529="Beta_Supplies","S004", B529="Epsilon_Group","S005")</f>
        <v>S003</v>
      </c>
      <c r="N529" t="str" cm="1">
        <f t="array" ref="N529">_xlfn.IFS(E529="Electronics","P001", E529="MRO","P002", E529="Office Supplies","P003", E529="Packaging","P004", E529="Raw Materials","P005")</f>
        <v>P001</v>
      </c>
    </row>
    <row r="530" spans="1:14" x14ac:dyDescent="0.2">
      <c r="A530" s="1" t="s">
        <v>544</v>
      </c>
      <c r="B530" s="2" t="s">
        <v>12</v>
      </c>
      <c r="C530" s="3">
        <v>45003</v>
      </c>
      <c r="D530" s="3">
        <v>45006</v>
      </c>
      <c r="E530" s="2" t="s">
        <v>2</v>
      </c>
      <c r="F530" s="2" t="s">
        <v>7</v>
      </c>
      <c r="G530" s="2">
        <v>703</v>
      </c>
      <c r="H530" s="2">
        <v>98.75</v>
      </c>
      <c r="I530" s="2">
        <v>86.78</v>
      </c>
      <c r="J530" s="2">
        <v>59</v>
      </c>
      <c r="K530" s="2" t="s">
        <v>4</v>
      </c>
      <c r="L530" s="2" t="str">
        <f t="shared" si="8"/>
        <v>Delivered</v>
      </c>
      <c r="M530" t="str" cm="1">
        <f t="array" ref="M530">_xlfn.IFS(B530="Alpha_Inc","S001", B530="Delta_Logistics","S002", B530="Gamma_Co","S003", B530="Beta_Supplies","S004", B530="Epsilon_Group","S005")</f>
        <v>S004</v>
      </c>
      <c r="N530" t="str" cm="1">
        <f t="array" ref="N530">_xlfn.IFS(E530="Electronics","P001", E530="MRO","P002", E530="Office Supplies","P003", E530="Packaging","P004", E530="Raw Materials","P005")</f>
        <v>P003</v>
      </c>
    </row>
    <row r="531" spans="1:14" x14ac:dyDescent="0.2">
      <c r="A531" s="4" t="s">
        <v>545</v>
      </c>
      <c r="B531" s="5" t="s">
        <v>9</v>
      </c>
      <c r="C531" s="6">
        <v>44633</v>
      </c>
      <c r="D531" s="6">
        <v>44648</v>
      </c>
      <c r="E531" s="5" t="s">
        <v>28</v>
      </c>
      <c r="F531" s="5" t="s">
        <v>7</v>
      </c>
      <c r="G531" s="5">
        <v>1021</v>
      </c>
      <c r="H531" s="5">
        <v>20.8</v>
      </c>
      <c r="I531" s="5">
        <v>18.23</v>
      </c>
      <c r="J531" s="5">
        <v>37</v>
      </c>
      <c r="K531" s="5" t="s">
        <v>4</v>
      </c>
      <c r="L531" s="5" t="str">
        <f t="shared" si="8"/>
        <v>Delivered</v>
      </c>
      <c r="M531" t="str" cm="1">
        <f t="array" ref="M531">_xlfn.IFS(B531="Alpha_Inc","S001", B531="Delta_Logistics","S002", B531="Gamma_Co","S003", B531="Beta_Supplies","S004", B531="Epsilon_Group","S005")</f>
        <v>S003</v>
      </c>
      <c r="N531" t="str" cm="1">
        <f t="array" ref="N531">_xlfn.IFS(E531="Electronics","P001", E531="MRO","P002", E531="Office Supplies","P003", E531="Packaging","P004", E531="Raw Materials","P005")</f>
        <v>P001</v>
      </c>
    </row>
    <row r="532" spans="1:14" x14ac:dyDescent="0.2">
      <c r="A532" s="1" t="s">
        <v>546</v>
      </c>
      <c r="B532" s="2" t="s">
        <v>12</v>
      </c>
      <c r="C532" s="3">
        <v>45242</v>
      </c>
      <c r="D532" s="3">
        <v>45249</v>
      </c>
      <c r="E532" s="2" t="s">
        <v>2</v>
      </c>
      <c r="F532" s="2" t="s">
        <v>7</v>
      </c>
      <c r="G532" s="2">
        <v>1956</v>
      </c>
      <c r="H532" s="2">
        <v>68.69</v>
      </c>
      <c r="I532" s="2">
        <v>65.09</v>
      </c>
      <c r="J532" s="2">
        <v>0</v>
      </c>
      <c r="K532" s="2" t="s">
        <v>4</v>
      </c>
      <c r="L532" s="2" t="str">
        <f t="shared" si="8"/>
        <v>Delivered</v>
      </c>
      <c r="M532" t="str" cm="1">
        <f t="array" ref="M532">_xlfn.IFS(B532="Alpha_Inc","S001", B532="Delta_Logistics","S002", B532="Gamma_Co","S003", B532="Beta_Supplies","S004", B532="Epsilon_Group","S005")</f>
        <v>S004</v>
      </c>
      <c r="N532" t="str" cm="1">
        <f t="array" ref="N532">_xlfn.IFS(E532="Electronics","P001", E532="MRO","P002", E532="Office Supplies","P003", E532="Packaging","P004", E532="Raw Materials","P005")</f>
        <v>P003</v>
      </c>
    </row>
    <row r="533" spans="1:14" x14ac:dyDescent="0.2">
      <c r="A533" s="4" t="s">
        <v>547</v>
      </c>
      <c r="B533" s="5" t="s">
        <v>6</v>
      </c>
      <c r="C533" s="6">
        <v>44900</v>
      </c>
      <c r="D533" s="6">
        <v>44907</v>
      </c>
      <c r="E533" s="5" t="s">
        <v>2</v>
      </c>
      <c r="F533" s="5" t="s">
        <v>22</v>
      </c>
      <c r="G533" s="5">
        <v>520</v>
      </c>
      <c r="H533" s="5">
        <v>36.57</v>
      </c>
      <c r="I533" s="5">
        <v>34.78</v>
      </c>
      <c r="J533" s="5">
        <v>67</v>
      </c>
      <c r="K533" s="5" t="s">
        <v>16</v>
      </c>
      <c r="L533" s="5" t="str">
        <f t="shared" si="8"/>
        <v>Partially Delivered</v>
      </c>
      <c r="M533" t="str" cm="1">
        <f t="array" ref="M533">_xlfn.IFS(B533="Alpha_Inc","S001", B533="Delta_Logistics","S002", B533="Gamma_Co","S003", B533="Beta_Supplies","S004", B533="Epsilon_Group","S005")</f>
        <v>S002</v>
      </c>
      <c r="N533" t="str" cm="1">
        <f t="array" ref="N533">_xlfn.IFS(E533="Electronics","P001", E533="MRO","P002", E533="Office Supplies","P003", E533="Packaging","P004", E533="Raw Materials","P005")</f>
        <v>P003</v>
      </c>
    </row>
    <row r="534" spans="1:14" x14ac:dyDescent="0.2">
      <c r="A534" s="1" t="s">
        <v>548</v>
      </c>
      <c r="B534" s="2" t="s">
        <v>6</v>
      </c>
      <c r="C534" s="3">
        <v>45200</v>
      </c>
      <c r="D534" s="3">
        <v>45211</v>
      </c>
      <c r="E534" s="2" t="s">
        <v>10</v>
      </c>
      <c r="F534" s="2" t="s">
        <v>7</v>
      </c>
      <c r="G534" s="2">
        <v>1216</v>
      </c>
      <c r="H534" s="2">
        <v>66.16</v>
      </c>
      <c r="I534" s="2">
        <v>63</v>
      </c>
      <c r="J534" s="2">
        <v>179</v>
      </c>
      <c r="K534" s="2" t="s">
        <v>16</v>
      </c>
      <c r="L534" s="2" t="str">
        <f t="shared" si="8"/>
        <v>Delivered</v>
      </c>
      <c r="M534" t="str" cm="1">
        <f t="array" ref="M534">_xlfn.IFS(B534="Alpha_Inc","S001", B534="Delta_Logistics","S002", B534="Gamma_Co","S003", B534="Beta_Supplies","S004", B534="Epsilon_Group","S005")</f>
        <v>S002</v>
      </c>
      <c r="N534" t="str" cm="1">
        <f t="array" ref="N534">_xlfn.IFS(E534="Electronics","P001", E534="MRO","P002", E534="Office Supplies","P003", E534="Packaging","P004", E534="Raw Materials","P005")</f>
        <v>P002</v>
      </c>
    </row>
    <row r="535" spans="1:14" x14ac:dyDescent="0.2">
      <c r="A535" s="4" t="s">
        <v>549</v>
      </c>
      <c r="B535" s="5" t="s">
        <v>1</v>
      </c>
      <c r="C535" s="6">
        <v>44883</v>
      </c>
      <c r="D535" s="6">
        <f>Table1[[#This Row],[Order_Date]]+14</f>
        <v>44897</v>
      </c>
      <c r="E535" s="5" t="s">
        <v>15</v>
      </c>
      <c r="F535" s="5" t="s">
        <v>7</v>
      </c>
      <c r="G535" s="5">
        <v>1165</v>
      </c>
      <c r="H535" s="5">
        <v>72.06</v>
      </c>
      <c r="I535" s="5">
        <v>63.93</v>
      </c>
      <c r="J535" s="5">
        <v>0</v>
      </c>
      <c r="K535" s="5" t="s">
        <v>4</v>
      </c>
      <c r="L535" s="5" t="str">
        <f t="shared" si="8"/>
        <v>Delivered</v>
      </c>
      <c r="M535" t="str" cm="1">
        <f t="array" ref="M535">_xlfn.IFS(B535="Alpha_Inc","S001", B535="Delta_Logistics","S002", B535="Gamma_Co","S003", B535="Beta_Supplies","S004", B535="Epsilon_Group","S005")</f>
        <v>S001</v>
      </c>
      <c r="N535" t="str" cm="1">
        <f t="array" ref="N535">_xlfn.IFS(E535="Electronics","P001", E535="MRO","P002", E535="Office Supplies","P003", E535="Packaging","P004", E535="Raw Materials","P005")</f>
        <v>P005</v>
      </c>
    </row>
    <row r="536" spans="1:14" x14ac:dyDescent="0.2">
      <c r="A536" s="1" t="s">
        <v>550</v>
      </c>
      <c r="B536" s="2" t="s">
        <v>6</v>
      </c>
      <c r="C536" s="3">
        <v>45241</v>
      </c>
      <c r="D536" s="3">
        <v>45259</v>
      </c>
      <c r="E536" s="2" t="s">
        <v>13</v>
      </c>
      <c r="F536" s="2" t="s">
        <v>24</v>
      </c>
      <c r="G536" s="2">
        <v>1427</v>
      </c>
      <c r="H536" s="2">
        <v>93.99</v>
      </c>
      <c r="I536" s="2">
        <v>83.6</v>
      </c>
      <c r="J536" s="2">
        <v>213</v>
      </c>
      <c r="K536" s="2" t="s">
        <v>4</v>
      </c>
      <c r="L536" s="2" t="str">
        <f t="shared" si="8"/>
        <v>Pending</v>
      </c>
      <c r="M536" t="str" cm="1">
        <f t="array" ref="M536">_xlfn.IFS(B536="Alpha_Inc","S001", B536="Delta_Logistics","S002", B536="Gamma_Co","S003", B536="Beta_Supplies","S004", B536="Epsilon_Group","S005")</f>
        <v>S002</v>
      </c>
      <c r="N536" t="str" cm="1">
        <f t="array" ref="N536">_xlfn.IFS(E536="Electronics","P001", E536="MRO","P002", E536="Office Supplies","P003", E536="Packaging","P004", E536="Raw Materials","P005")</f>
        <v>P004</v>
      </c>
    </row>
    <row r="537" spans="1:14" x14ac:dyDescent="0.2">
      <c r="A537" s="4" t="s">
        <v>551</v>
      </c>
      <c r="B537" s="5" t="s">
        <v>18</v>
      </c>
      <c r="C537" s="6">
        <v>44689</v>
      </c>
      <c r="D537" s="6">
        <v>44691</v>
      </c>
      <c r="E537" s="5" t="s">
        <v>28</v>
      </c>
      <c r="F537" s="5" t="s">
        <v>7</v>
      </c>
      <c r="G537" s="5">
        <v>883</v>
      </c>
      <c r="H537" s="5">
        <v>29.15</v>
      </c>
      <c r="I537" s="5">
        <v>25.75</v>
      </c>
      <c r="J537" s="5">
        <v>14</v>
      </c>
      <c r="K537" s="5" t="s">
        <v>4</v>
      </c>
      <c r="L537" s="5" t="str">
        <f t="shared" si="8"/>
        <v>Delivered</v>
      </c>
      <c r="M537" t="str" cm="1">
        <f t="array" ref="M537">_xlfn.IFS(B537="Alpha_Inc","S001", B537="Delta_Logistics","S002", B537="Gamma_Co","S003", B537="Beta_Supplies","S004", B537="Epsilon_Group","S005")</f>
        <v>S005</v>
      </c>
      <c r="N537" t="str" cm="1">
        <f t="array" ref="N537">_xlfn.IFS(E537="Electronics","P001", E537="MRO","P002", E537="Office Supplies","P003", E537="Packaging","P004", E537="Raw Materials","P005")</f>
        <v>P001</v>
      </c>
    </row>
    <row r="538" spans="1:14" x14ac:dyDescent="0.2">
      <c r="A538" s="1" t="s">
        <v>552</v>
      </c>
      <c r="B538" s="2" t="s">
        <v>6</v>
      </c>
      <c r="C538" s="3">
        <v>44869</v>
      </c>
      <c r="D538" s="3">
        <v>44876</v>
      </c>
      <c r="E538" s="2" t="s">
        <v>13</v>
      </c>
      <c r="F538" s="2" t="s">
        <v>22</v>
      </c>
      <c r="G538" s="2">
        <v>1873</v>
      </c>
      <c r="H538" s="2">
        <v>11.54</v>
      </c>
      <c r="I538" s="2">
        <v>9.89</v>
      </c>
      <c r="J538" s="2">
        <v>284</v>
      </c>
      <c r="K538" s="2" t="s">
        <v>16</v>
      </c>
      <c r="L538" s="2" t="str">
        <f t="shared" si="8"/>
        <v>Partially Delivered</v>
      </c>
      <c r="M538" t="str" cm="1">
        <f t="array" ref="M538">_xlfn.IFS(B538="Alpha_Inc","S001", B538="Delta_Logistics","S002", B538="Gamma_Co","S003", B538="Beta_Supplies","S004", B538="Epsilon_Group","S005")</f>
        <v>S002</v>
      </c>
      <c r="N538" t="str" cm="1">
        <f t="array" ref="N538">_xlfn.IFS(E538="Electronics","P001", E538="MRO","P002", E538="Office Supplies","P003", E538="Packaging","P004", E538="Raw Materials","P005")</f>
        <v>P004</v>
      </c>
    </row>
    <row r="539" spans="1:14" x14ac:dyDescent="0.2">
      <c r="A539" s="4" t="s">
        <v>553</v>
      </c>
      <c r="B539" s="5" t="s">
        <v>18</v>
      </c>
      <c r="C539" s="6">
        <v>45081</v>
      </c>
      <c r="D539" s="6">
        <v>45083</v>
      </c>
      <c r="E539" s="5" t="s">
        <v>2</v>
      </c>
      <c r="F539" s="5" t="s">
        <v>7</v>
      </c>
      <c r="G539" s="5">
        <v>776</v>
      </c>
      <c r="H539" s="5">
        <v>24.22</v>
      </c>
      <c r="I539" s="5">
        <v>22.53</v>
      </c>
      <c r="J539" s="5">
        <v>27</v>
      </c>
      <c r="K539" s="5" t="s">
        <v>4</v>
      </c>
      <c r="L539" s="5" t="str">
        <f t="shared" si="8"/>
        <v>Delivered</v>
      </c>
      <c r="M539" t="str" cm="1">
        <f t="array" ref="M539">_xlfn.IFS(B539="Alpha_Inc","S001", B539="Delta_Logistics","S002", B539="Gamma_Co","S003", B539="Beta_Supplies","S004", B539="Epsilon_Group","S005")</f>
        <v>S005</v>
      </c>
      <c r="N539" t="str" cm="1">
        <f t="array" ref="N539">_xlfn.IFS(E539="Electronics","P001", E539="MRO","P002", E539="Office Supplies","P003", E539="Packaging","P004", E539="Raw Materials","P005")</f>
        <v>P003</v>
      </c>
    </row>
    <row r="540" spans="1:14" x14ac:dyDescent="0.2">
      <c r="A540" s="1" t="s">
        <v>554</v>
      </c>
      <c r="B540" s="2" t="s">
        <v>6</v>
      </c>
      <c r="C540" s="3">
        <v>44878</v>
      </c>
      <c r="D540" s="3">
        <v>44889</v>
      </c>
      <c r="E540" s="2" t="s">
        <v>28</v>
      </c>
      <c r="F540" s="2" t="s">
        <v>7</v>
      </c>
      <c r="G540" s="2">
        <v>903</v>
      </c>
      <c r="H540" s="2">
        <v>95.55</v>
      </c>
      <c r="I540" s="2">
        <v>92.45</v>
      </c>
      <c r="J540" s="2">
        <v>149</v>
      </c>
      <c r="K540" s="2" t="s">
        <v>16</v>
      </c>
      <c r="L540" s="2" t="str">
        <f t="shared" si="8"/>
        <v>Delivered</v>
      </c>
      <c r="M540" t="str" cm="1">
        <f t="array" ref="M540">_xlfn.IFS(B540="Alpha_Inc","S001", B540="Delta_Logistics","S002", B540="Gamma_Co","S003", B540="Beta_Supplies","S004", B540="Epsilon_Group","S005")</f>
        <v>S002</v>
      </c>
      <c r="N540" t="str" cm="1">
        <f t="array" ref="N540">_xlfn.IFS(E540="Electronics","P001", E540="MRO","P002", E540="Office Supplies","P003", E540="Packaging","P004", E540="Raw Materials","P005")</f>
        <v>P001</v>
      </c>
    </row>
    <row r="541" spans="1:14" x14ac:dyDescent="0.2">
      <c r="A541" s="4" t="s">
        <v>555</v>
      </c>
      <c r="B541" s="5" t="s">
        <v>18</v>
      </c>
      <c r="C541" s="6">
        <v>45244</v>
      </c>
      <c r="D541" s="6">
        <v>45256</v>
      </c>
      <c r="E541" s="5" t="s">
        <v>28</v>
      </c>
      <c r="F541" s="5" t="s">
        <v>7</v>
      </c>
      <c r="G541" s="5">
        <v>100</v>
      </c>
      <c r="H541" s="5">
        <v>98.4</v>
      </c>
      <c r="I541" s="5">
        <v>85.76</v>
      </c>
      <c r="J541" s="5">
        <v>3</v>
      </c>
      <c r="K541" s="5" t="s">
        <v>4</v>
      </c>
      <c r="L541" s="5" t="str">
        <f t="shared" si="8"/>
        <v>Delivered</v>
      </c>
      <c r="M541" t="str" cm="1">
        <f t="array" ref="M541">_xlfn.IFS(B541="Alpha_Inc","S001", B541="Delta_Logistics","S002", B541="Gamma_Co","S003", B541="Beta_Supplies","S004", B541="Epsilon_Group","S005")</f>
        <v>S005</v>
      </c>
      <c r="N541" t="str" cm="1">
        <f t="array" ref="N541">_xlfn.IFS(E541="Electronics","P001", E541="MRO","P002", E541="Office Supplies","P003", E541="Packaging","P004", E541="Raw Materials","P005")</f>
        <v>P001</v>
      </c>
    </row>
    <row r="542" spans="1:14" x14ac:dyDescent="0.2">
      <c r="A542" s="1" t="s">
        <v>556</v>
      </c>
      <c r="B542" s="2" t="s">
        <v>18</v>
      </c>
      <c r="C542" s="3">
        <v>44980</v>
      </c>
      <c r="D542" s="3">
        <v>44993</v>
      </c>
      <c r="E542" s="2" t="s">
        <v>2</v>
      </c>
      <c r="F542" s="2" t="s">
        <v>7</v>
      </c>
      <c r="G542" s="2">
        <v>1738</v>
      </c>
      <c r="H542" s="2">
        <v>67.91</v>
      </c>
      <c r="I542" s="2">
        <v>61.15</v>
      </c>
      <c r="J542" s="2">
        <v>0</v>
      </c>
      <c r="K542" s="2" t="s">
        <v>4</v>
      </c>
      <c r="L542" s="2" t="str">
        <f t="shared" si="8"/>
        <v>Delivered</v>
      </c>
      <c r="M542" t="str" cm="1">
        <f t="array" ref="M542">_xlfn.IFS(B542="Alpha_Inc","S001", B542="Delta_Logistics","S002", B542="Gamma_Co","S003", B542="Beta_Supplies","S004", B542="Epsilon_Group","S005")</f>
        <v>S005</v>
      </c>
      <c r="N542" t="str" cm="1">
        <f t="array" ref="N542">_xlfn.IFS(E542="Electronics","P001", E542="MRO","P002", E542="Office Supplies","P003", E542="Packaging","P004", E542="Raw Materials","P005")</f>
        <v>P003</v>
      </c>
    </row>
    <row r="543" spans="1:14" x14ac:dyDescent="0.2">
      <c r="A543" s="4" t="s">
        <v>557</v>
      </c>
      <c r="B543" s="5" t="s">
        <v>6</v>
      </c>
      <c r="C543" s="6">
        <v>44896</v>
      </c>
      <c r="D543" s="6">
        <v>44909</v>
      </c>
      <c r="E543" s="5" t="s">
        <v>13</v>
      </c>
      <c r="F543" s="5" t="s">
        <v>7</v>
      </c>
      <c r="G543" s="5">
        <v>1771</v>
      </c>
      <c r="H543" s="5">
        <v>67.569999999999993</v>
      </c>
      <c r="I543" s="5">
        <v>61.48</v>
      </c>
      <c r="J543" s="5">
        <v>280</v>
      </c>
      <c r="K543" s="5" t="s">
        <v>16</v>
      </c>
      <c r="L543" s="5" t="str">
        <f t="shared" si="8"/>
        <v>Delivered</v>
      </c>
      <c r="M543" t="str" cm="1">
        <f t="array" ref="M543">_xlfn.IFS(B543="Alpha_Inc","S001", B543="Delta_Logistics","S002", B543="Gamma_Co","S003", B543="Beta_Supplies","S004", B543="Epsilon_Group","S005")</f>
        <v>S002</v>
      </c>
      <c r="N543" t="str" cm="1">
        <f t="array" ref="N543">_xlfn.IFS(E543="Electronics","P001", E543="MRO","P002", E543="Office Supplies","P003", E543="Packaging","P004", E543="Raw Materials","P005")</f>
        <v>P004</v>
      </c>
    </row>
    <row r="544" spans="1:14" x14ac:dyDescent="0.2">
      <c r="A544" s="1" t="s">
        <v>558</v>
      </c>
      <c r="B544" s="2" t="s">
        <v>18</v>
      </c>
      <c r="C544" s="3">
        <v>44974</v>
      </c>
      <c r="D544" s="3">
        <v>44980</v>
      </c>
      <c r="E544" s="2" t="s">
        <v>28</v>
      </c>
      <c r="F544" s="2" t="s">
        <v>7</v>
      </c>
      <c r="G544" s="2">
        <v>624</v>
      </c>
      <c r="H544" s="2">
        <v>74.39</v>
      </c>
      <c r="I544" s="2">
        <v>66.3</v>
      </c>
      <c r="J544" s="2">
        <v>18</v>
      </c>
      <c r="K544" s="2" t="s">
        <v>16</v>
      </c>
      <c r="L544" s="2" t="str">
        <f t="shared" si="8"/>
        <v>Delivered</v>
      </c>
      <c r="M544" t="str" cm="1">
        <f t="array" ref="M544">_xlfn.IFS(B544="Alpha_Inc","S001", B544="Delta_Logistics","S002", B544="Gamma_Co","S003", B544="Beta_Supplies","S004", B544="Epsilon_Group","S005")</f>
        <v>S005</v>
      </c>
      <c r="N544" t="str" cm="1">
        <f t="array" ref="N544">_xlfn.IFS(E544="Electronics","P001", E544="MRO","P002", E544="Office Supplies","P003", E544="Packaging","P004", E544="Raw Materials","P005")</f>
        <v>P001</v>
      </c>
    </row>
    <row r="545" spans="1:14" x14ac:dyDescent="0.2">
      <c r="A545" s="4" t="s">
        <v>559</v>
      </c>
      <c r="B545" s="5" t="s">
        <v>1</v>
      </c>
      <c r="C545" s="6">
        <v>45275</v>
      </c>
      <c r="D545" s="6">
        <v>45291</v>
      </c>
      <c r="E545" s="5" t="s">
        <v>13</v>
      </c>
      <c r="F545" s="5" t="s">
        <v>22</v>
      </c>
      <c r="G545" s="5">
        <v>1263</v>
      </c>
      <c r="H545" s="5">
        <v>28.75</v>
      </c>
      <c r="I545" s="5">
        <v>27.1</v>
      </c>
      <c r="J545" s="5">
        <v>26</v>
      </c>
      <c r="K545" s="5" t="s">
        <v>4</v>
      </c>
      <c r="L545" s="5" t="str">
        <f t="shared" si="8"/>
        <v>Partially Delivered</v>
      </c>
      <c r="M545" t="str" cm="1">
        <f t="array" ref="M545">_xlfn.IFS(B545="Alpha_Inc","S001", B545="Delta_Logistics","S002", B545="Gamma_Co","S003", B545="Beta_Supplies","S004", B545="Epsilon_Group","S005")</f>
        <v>S001</v>
      </c>
      <c r="N545" t="str" cm="1">
        <f t="array" ref="N545">_xlfn.IFS(E545="Electronics","P001", E545="MRO","P002", E545="Office Supplies","P003", E545="Packaging","P004", E545="Raw Materials","P005")</f>
        <v>P004</v>
      </c>
    </row>
    <row r="546" spans="1:14" x14ac:dyDescent="0.2">
      <c r="A546" s="1" t="s">
        <v>560</v>
      </c>
      <c r="B546" s="2" t="s">
        <v>9</v>
      </c>
      <c r="C546" s="3">
        <v>44864</v>
      </c>
      <c r="D546" s="3">
        <v>44881</v>
      </c>
      <c r="E546" s="2" t="s">
        <v>28</v>
      </c>
      <c r="F546" s="2" t="s">
        <v>3</v>
      </c>
      <c r="G546" s="2">
        <v>1198</v>
      </c>
      <c r="H546" s="2">
        <v>96.45</v>
      </c>
      <c r="I546" s="2">
        <v>90.09</v>
      </c>
      <c r="J546" s="2">
        <v>0</v>
      </c>
      <c r="K546" s="2" t="s">
        <v>4</v>
      </c>
      <c r="L546" s="2" t="str">
        <f t="shared" si="8"/>
        <v>Cancelled</v>
      </c>
      <c r="M546" t="str" cm="1">
        <f t="array" ref="M546">_xlfn.IFS(B546="Alpha_Inc","S001", B546="Delta_Logistics","S002", B546="Gamma_Co","S003", B546="Beta_Supplies","S004", B546="Epsilon_Group","S005")</f>
        <v>S003</v>
      </c>
      <c r="N546" t="str" cm="1">
        <f t="array" ref="N546">_xlfn.IFS(E546="Electronics","P001", E546="MRO","P002", E546="Office Supplies","P003", E546="Packaging","P004", E546="Raw Materials","P005")</f>
        <v>P001</v>
      </c>
    </row>
    <row r="547" spans="1:14" x14ac:dyDescent="0.2">
      <c r="A547" s="4" t="s">
        <v>561</v>
      </c>
      <c r="B547" s="5" t="s">
        <v>18</v>
      </c>
      <c r="C547" s="6">
        <v>45129</v>
      </c>
      <c r="D547" s="6">
        <v>45132</v>
      </c>
      <c r="E547" s="5" t="s">
        <v>15</v>
      </c>
      <c r="F547" s="5" t="s">
        <v>7</v>
      </c>
      <c r="G547" s="5">
        <v>199</v>
      </c>
      <c r="H547" s="5">
        <v>51.98</v>
      </c>
      <c r="I547" s="5">
        <v>45.64</v>
      </c>
      <c r="J547" s="5">
        <v>0</v>
      </c>
      <c r="K547" s="5" t="s">
        <v>16</v>
      </c>
      <c r="L547" s="5" t="str">
        <f t="shared" si="8"/>
        <v>Delivered</v>
      </c>
      <c r="M547" t="str" cm="1">
        <f t="array" ref="M547">_xlfn.IFS(B547="Alpha_Inc","S001", B547="Delta_Logistics","S002", B547="Gamma_Co","S003", B547="Beta_Supplies","S004", B547="Epsilon_Group","S005")</f>
        <v>S005</v>
      </c>
      <c r="N547" t="str" cm="1">
        <f t="array" ref="N547">_xlfn.IFS(E547="Electronics","P001", E547="MRO","P002", E547="Office Supplies","P003", E547="Packaging","P004", E547="Raw Materials","P005")</f>
        <v>P005</v>
      </c>
    </row>
    <row r="548" spans="1:14" x14ac:dyDescent="0.2">
      <c r="A548" s="1" t="s">
        <v>562</v>
      </c>
      <c r="B548" s="2" t="s">
        <v>18</v>
      </c>
      <c r="C548" s="3">
        <v>44692</v>
      </c>
      <c r="D548" s="3">
        <v>44695</v>
      </c>
      <c r="E548" s="2" t="s">
        <v>10</v>
      </c>
      <c r="F548" s="2" t="s">
        <v>24</v>
      </c>
      <c r="G548" s="2">
        <v>363</v>
      </c>
      <c r="H548" s="2">
        <v>45.37</v>
      </c>
      <c r="I548" s="2">
        <v>38.729999999999997</v>
      </c>
      <c r="J548" s="2">
        <v>0</v>
      </c>
      <c r="K548" s="2" t="s">
        <v>4</v>
      </c>
      <c r="L548" s="2" t="str">
        <f t="shared" si="8"/>
        <v>Pending</v>
      </c>
      <c r="M548" t="str" cm="1">
        <f t="array" ref="M548">_xlfn.IFS(B548="Alpha_Inc","S001", B548="Delta_Logistics","S002", B548="Gamma_Co","S003", B548="Beta_Supplies","S004", B548="Epsilon_Group","S005")</f>
        <v>S005</v>
      </c>
      <c r="N548" t="str" cm="1">
        <f t="array" ref="N548">_xlfn.IFS(E548="Electronics","P001", E548="MRO","P002", E548="Office Supplies","P003", E548="Packaging","P004", E548="Raw Materials","P005")</f>
        <v>P002</v>
      </c>
    </row>
    <row r="549" spans="1:14" x14ac:dyDescent="0.2">
      <c r="A549" s="4" t="s">
        <v>563</v>
      </c>
      <c r="B549" s="5" t="s">
        <v>1</v>
      </c>
      <c r="C549" s="6">
        <v>44758</v>
      </c>
      <c r="D549" s="6">
        <v>44764</v>
      </c>
      <c r="E549" s="5" t="s">
        <v>2</v>
      </c>
      <c r="F549" s="5" t="s">
        <v>7</v>
      </c>
      <c r="G549" s="5">
        <v>619</v>
      </c>
      <c r="H549" s="5">
        <v>58.4</v>
      </c>
      <c r="I549" s="5">
        <v>51.04</v>
      </c>
      <c r="J549" s="5">
        <v>0</v>
      </c>
      <c r="K549" s="5" t="s">
        <v>4</v>
      </c>
      <c r="L549" s="5" t="str">
        <f t="shared" si="8"/>
        <v>Delivered</v>
      </c>
      <c r="M549" t="str" cm="1">
        <f t="array" ref="M549">_xlfn.IFS(B549="Alpha_Inc","S001", B549="Delta_Logistics","S002", B549="Gamma_Co","S003", B549="Beta_Supplies","S004", B549="Epsilon_Group","S005")</f>
        <v>S001</v>
      </c>
      <c r="N549" t="str" cm="1">
        <f t="array" ref="N549">_xlfn.IFS(E549="Electronics","P001", E549="MRO","P002", E549="Office Supplies","P003", E549="Packaging","P004", E549="Raw Materials","P005")</f>
        <v>P003</v>
      </c>
    </row>
    <row r="550" spans="1:14" x14ac:dyDescent="0.2">
      <c r="A550" s="1" t="s">
        <v>564</v>
      </c>
      <c r="B550" s="2" t="s">
        <v>1</v>
      </c>
      <c r="C550" s="3">
        <v>44992</v>
      </c>
      <c r="D550" s="3">
        <v>45003</v>
      </c>
      <c r="E550" s="2" t="s">
        <v>10</v>
      </c>
      <c r="F550" s="2" t="s">
        <v>7</v>
      </c>
      <c r="G550" s="2">
        <v>1415</v>
      </c>
      <c r="H550" s="2">
        <v>15.22</v>
      </c>
      <c r="I550" s="2">
        <v>13.56</v>
      </c>
      <c r="J550" s="2">
        <v>30</v>
      </c>
      <c r="K550" s="2" t="s">
        <v>4</v>
      </c>
      <c r="L550" s="2" t="str">
        <f t="shared" si="8"/>
        <v>Delivered</v>
      </c>
      <c r="M550" t="str" cm="1">
        <f t="array" ref="M550">_xlfn.IFS(B550="Alpha_Inc","S001", B550="Delta_Logistics","S002", B550="Gamma_Co","S003", B550="Beta_Supplies","S004", B550="Epsilon_Group","S005")</f>
        <v>S001</v>
      </c>
      <c r="N550" t="str" cm="1">
        <f t="array" ref="N550">_xlfn.IFS(E550="Electronics","P001", E550="MRO","P002", E550="Office Supplies","P003", E550="Packaging","P004", E550="Raw Materials","P005")</f>
        <v>P002</v>
      </c>
    </row>
    <row r="551" spans="1:14" x14ac:dyDescent="0.2">
      <c r="A551" s="4" t="s">
        <v>565</v>
      </c>
      <c r="B551" s="5" t="s">
        <v>12</v>
      </c>
      <c r="C551" s="6">
        <v>45242</v>
      </c>
      <c r="D551" s="6">
        <v>45253</v>
      </c>
      <c r="E551" s="5" t="s">
        <v>13</v>
      </c>
      <c r="F551" s="5" t="s">
        <v>7</v>
      </c>
      <c r="G551" s="5">
        <v>354</v>
      </c>
      <c r="H551" s="5">
        <v>27.71</v>
      </c>
      <c r="I551" s="5">
        <v>23.87</v>
      </c>
      <c r="J551" s="5">
        <v>39</v>
      </c>
      <c r="K551" s="5" t="s">
        <v>16</v>
      </c>
      <c r="L551" s="5" t="str">
        <f t="shared" si="8"/>
        <v>Delivered</v>
      </c>
      <c r="M551" t="str" cm="1">
        <f t="array" ref="M551">_xlfn.IFS(B551="Alpha_Inc","S001", B551="Delta_Logistics","S002", B551="Gamma_Co","S003", B551="Beta_Supplies","S004", B551="Epsilon_Group","S005")</f>
        <v>S004</v>
      </c>
      <c r="N551" t="str" cm="1">
        <f t="array" ref="N551">_xlfn.IFS(E551="Electronics","P001", E551="MRO","P002", E551="Office Supplies","P003", E551="Packaging","P004", E551="Raw Materials","P005")</f>
        <v>P004</v>
      </c>
    </row>
    <row r="552" spans="1:14" x14ac:dyDescent="0.2">
      <c r="A552" s="1" t="s">
        <v>566</v>
      </c>
      <c r="B552" s="2" t="s">
        <v>9</v>
      </c>
      <c r="C552" s="3">
        <v>44950</v>
      </c>
      <c r="D552" s="3">
        <v>44960</v>
      </c>
      <c r="E552" s="2" t="s">
        <v>10</v>
      </c>
      <c r="F552" s="2" t="s">
        <v>7</v>
      </c>
      <c r="G552" s="2">
        <v>1765</v>
      </c>
      <c r="H552" s="2">
        <v>81.010000000000005</v>
      </c>
      <c r="I552" s="2">
        <v>78.430000000000007</v>
      </c>
      <c r="J552" s="2">
        <v>78</v>
      </c>
      <c r="K552" s="2" t="s">
        <v>4</v>
      </c>
      <c r="L552" s="2" t="str">
        <f t="shared" si="8"/>
        <v>Delivered</v>
      </c>
      <c r="M552" t="str" cm="1">
        <f t="array" ref="M552">_xlfn.IFS(B552="Alpha_Inc","S001", B552="Delta_Logistics","S002", B552="Gamma_Co","S003", B552="Beta_Supplies","S004", B552="Epsilon_Group","S005")</f>
        <v>S003</v>
      </c>
      <c r="N552" t="str" cm="1">
        <f t="array" ref="N552">_xlfn.IFS(E552="Electronics","P001", E552="MRO","P002", E552="Office Supplies","P003", E552="Packaging","P004", E552="Raw Materials","P005")</f>
        <v>P002</v>
      </c>
    </row>
    <row r="553" spans="1:14" x14ac:dyDescent="0.2">
      <c r="A553" s="4" t="s">
        <v>567</v>
      </c>
      <c r="B553" s="5" t="s">
        <v>12</v>
      </c>
      <c r="C553" s="6">
        <v>45255</v>
      </c>
      <c r="D553" s="6">
        <v>45269</v>
      </c>
      <c r="E553" s="5" t="s">
        <v>10</v>
      </c>
      <c r="F553" s="5" t="s">
        <v>7</v>
      </c>
      <c r="G553" s="5">
        <v>731</v>
      </c>
      <c r="H553" s="5">
        <v>19.37</v>
      </c>
      <c r="I553" s="5">
        <v>17.3</v>
      </c>
      <c r="J553" s="5">
        <v>69</v>
      </c>
      <c r="K553" s="5" t="s">
        <v>16</v>
      </c>
      <c r="L553" s="5" t="str">
        <f t="shared" si="8"/>
        <v>Delivered</v>
      </c>
      <c r="M553" t="str" cm="1">
        <f t="array" ref="M553">_xlfn.IFS(B553="Alpha_Inc","S001", B553="Delta_Logistics","S002", B553="Gamma_Co","S003", B553="Beta_Supplies","S004", B553="Epsilon_Group","S005")</f>
        <v>S004</v>
      </c>
      <c r="N553" t="str" cm="1">
        <f t="array" ref="N553">_xlfn.IFS(E553="Electronics","P001", E553="MRO","P002", E553="Office Supplies","P003", E553="Packaging","P004", E553="Raw Materials","P005")</f>
        <v>P002</v>
      </c>
    </row>
    <row r="554" spans="1:14" x14ac:dyDescent="0.2">
      <c r="A554" s="1" t="s">
        <v>568</v>
      </c>
      <c r="B554" s="2" t="s">
        <v>18</v>
      </c>
      <c r="C554" s="3">
        <v>44740</v>
      </c>
      <c r="D554" s="3">
        <v>44755</v>
      </c>
      <c r="E554" s="2" t="s">
        <v>10</v>
      </c>
      <c r="F554" s="2" t="s">
        <v>7</v>
      </c>
      <c r="G554" s="2">
        <v>887</v>
      </c>
      <c r="H554" s="2">
        <v>65.89</v>
      </c>
      <c r="I554" s="2">
        <v>59.67</v>
      </c>
      <c r="J554" s="2">
        <v>29</v>
      </c>
      <c r="K554" s="2" t="s">
        <v>4</v>
      </c>
      <c r="L554" s="2" t="str">
        <f t="shared" si="8"/>
        <v>Delivered</v>
      </c>
      <c r="M554" t="str" cm="1">
        <f t="array" ref="M554">_xlfn.IFS(B554="Alpha_Inc","S001", B554="Delta_Logistics","S002", B554="Gamma_Co","S003", B554="Beta_Supplies","S004", B554="Epsilon_Group","S005")</f>
        <v>S005</v>
      </c>
      <c r="N554" t="str" cm="1">
        <f t="array" ref="N554">_xlfn.IFS(E554="Electronics","P001", E554="MRO","P002", E554="Office Supplies","P003", E554="Packaging","P004", E554="Raw Materials","P005")</f>
        <v>P002</v>
      </c>
    </row>
    <row r="555" spans="1:14" x14ac:dyDescent="0.2">
      <c r="A555" s="4" t="s">
        <v>569</v>
      </c>
      <c r="B555" s="5" t="s">
        <v>1</v>
      </c>
      <c r="C555" s="6">
        <v>45192</v>
      </c>
      <c r="D555" s="6">
        <v>45194</v>
      </c>
      <c r="E555" s="5" t="s">
        <v>10</v>
      </c>
      <c r="F555" s="5" t="s">
        <v>7</v>
      </c>
      <c r="G555" s="5">
        <v>1856</v>
      </c>
      <c r="H555" s="5">
        <v>35.29</v>
      </c>
      <c r="I555" s="5">
        <v>32.409999999999997</v>
      </c>
      <c r="J555" s="5">
        <v>26</v>
      </c>
      <c r="K555" s="5" t="s">
        <v>4</v>
      </c>
      <c r="L555" s="5" t="str">
        <f t="shared" si="8"/>
        <v>Delivered</v>
      </c>
      <c r="M555" t="str" cm="1">
        <f t="array" ref="M555">_xlfn.IFS(B555="Alpha_Inc","S001", B555="Delta_Logistics","S002", B555="Gamma_Co","S003", B555="Beta_Supplies","S004", B555="Epsilon_Group","S005")</f>
        <v>S001</v>
      </c>
      <c r="N555" t="str" cm="1">
        <f t="array" ref="N555">_xlfn.IFS(E555="Electronics","P001", E555="MRO","P002", E555="Office Supplies","P003", E555="Packaging","P004", E555="Raw Materials","P005")</f>
        <v>P002</v>
      </c>
    </row>
    <row r="556" spans="1:14" x14ac:dyDescent="0.2">
      <c r="A556" s="1" t="s">
        <v>570</v>
      </c>
      <c r="B556" s="2" t="s">
        <v>18</v>
      </c>
      <c r="C556" s="3">
        <v>45144</v>
      </c>
      <c r="D556" s="3">
        <v>45156</v>
      </c>
      <c r="E556" s="2" t="s">
        <v>2</v>
      </c>
      <c r="F556" s="2" t="s">
        <v>7</v>
      </c>
      <c r="G556" s="2">
        <v>1127</v>
      </c>
      <c r="H556" s="2">
        <v>49.32</v>
      </c>
      <c r="I556" s="2">
        <v>46.49</v>
      </c>
      <c r="J556" s="2">
        <v>30</v>
      </c>
      <c r="K556" s="2" t="s">
        <v>4</v>
      </c>
      <c r="L556" s="2" t="str">
        <f t="shared" si="8"/>
        <v>Delivered</v>
      </c>
      <c r="M556" t="str" cm="1">
        <f t="array" ref="M556">_xlfn.IFS(B556="Alpha_Inc","S001", B556="Delta_Logistics","S002", B556="Gamma_Co","S003", B556="Beta_Supplies","S004", B556="Epsilon_Group","S005")</f>
        <v>S005</v>
      </c>
      <c r="N556" t="str" cm="1">
        <f t="array" ref="N556">_xlfn.IFS(E556="Electronics","P001", E556="MRO","P002", E556="Office Supplies","P003", E556="Packaging","P004", E556="Raw Materials","P005")</f>
        <v>P003</v>
      </c>
    </row>
    <row r="557" spans="1:14" x14ac:dyDescent="0.2">
      <c r="A557" s="4" t="s">
        <v>571</v>
      </c>
      <c r="B557" s="5" t="s">
        <v>6</v>
      </c>
      <c r="C557" s="6">
        <v>44870</v>
      </c>
      <c r="D557" s="6">
        <v>44884</v>
      </c>
      <c r="E557" s="5" t="s">
        <v>15</v>
      </c>
      <c r="F557" s="5" t="s">
        <v>7</v>
      </c>
      <c r="G557" s="5">
        <v>1052</v>
      </c>
      <c r="H557" s="5">
        <v>37.78</v>
      </c>
      <c r="I557" s="5">
        <v>32.6</v>
      </c>
      <c r="J557" s="5">
        <v>162</v>
      </c>
      <c r="K557" s="5" t="s">
        <v>4</v>
      </c>
      <c r="L557" s="5" t="str">
        <f t="shared" si="8"/>
        <v>Delivered</v>
      </c>
      <c r="M557" t="str" cm="1">
        <f t="array" ref="M557">_xlfn.IFS(B557="Alpha_Inc","S001", B557="Delta_Logistics","S002", B557="Gamma_Co","S003", B557="Beta_Supplies","S004", B557="Epsilon_Group","S005")</f>
        <v>S002</v>
      </c>
      <c r="N557" t="str" cm="1">
        <f t="array" ref="N557">_xlfn.IFS(E557="Electronics","P001", E557="MRO","P002", E557="Office Supplies","P003", E557="Packaging","P004", E557="Raw Materials","P005")</f>
        <v>P005</v>
      </c>
    </row>
    <row r="558" spans="1:14" x14ac:dyDescent="0.2">
      <c r="A558" s="1" t="s">
        <v>572</v>
      </c>
      <c r="B558" s="2" t="s">
        <v>9</v>
      </c>
      <c r="C558" s="3">
        <v>44977</v>
      </c>
      <c r="D558" s="3">
        <v>44979</v>
      </c>
      <c r="E558" s="2" t="s">
        <v>15</v>
      </c>
      <c r="F558" s="2" t="s">
        <v>7</v>
      </c>
      <c r="G558" s="2">
        <v>493</v>
      </c>
      <c r="H558" s="2">
        <v>44.74</v>
      </c>
      <c r="I558" s="2">
        <v>41.44</v>
      </c>
      <c r="J558" s="2">
        <v>24</v>
      </c>
      <c r="K558" s="2" t="s">
        <v>16</v>
      </c>
      <c r="L558" s="2" t="str">
        <f t="shared" si="8"/>
        <v>Delivered</v>
      </c>
      <c r="M558" t="str" cm="1">
        <f t="array" ref="M558">_xlfn.IFS(B558="Alpha_Inc","S001", B558="Delta_Logistics","S002", B558="Gamma_Co","S003", B558="Beta_Supplies","S004", B558="Epsilon_Group","S005")</f>
        <v>S003</v>
      </c>
      <c r="N558" t="str" cm="1">
        <f t="array" ref="N558">_xlfn.IFS(E558="Electronics","P001", E558="MRO","P002", E558="Office Supplies","P003", E558="Packaging","P004", E558="Raw Materials","P005")</f>
        <v>P005</v>
      </c>
    </row>
    <row r="559" spans="1:14" x14ac:dyDescent="0.2">
      <c r="A559" s="4" t="s">
        <v>573</v>
      </c>
      <c r="B559" s="5" t="s">
        <v>6</v>
      </c>
      <c r="C559" s="6">
        <v>45123</v>
      </c>
      <c r="D559" s="6">
        <v>45136</v>
      </c>
      <c r="E559" s="5" t="s">
        <v>10</v>
      </c>
      <c r="F559" s="5" t="s">
        <v>22</v>
      </c>
      <c r="G559" s="5">
        <v>662</v>
      </c>
      <c r="H559" s="5">
        <v>81.44</v>
      </c>
      <c r="I559" s="5">
        <v>71.33</v>
      </c>
      <c r="J559" s="5">
        <v>87</v>
      </c>
      <c r="K559" s="5" t="s">
        <v>4</v>
      </c>
      <c r="L559" s="5" t="str">
        <f t="shared" si="8"/>
        <v>Partially Delivered</v>
      </c>
      <c r="M559" t="str" cm="1">
        <f t="array" ref="M559">_xlfn.IFS(B559="Alpha_Inc","S001", B559="Delta_Logistics","S002", B559="Gamma_Co","S003", B559="Beta_Supplies","S004", B559="Epsilon_Group","S005")</f>
        <v>S002</v>
      </c>
      <c r="N559" t="str" cm="1">
        <f t="array" ref="N559">_xlfn.IFS(E559="Electronics","P001", E559="MRO","P002", E559="Office Supplies","P003", E559="Packaging","P004", E559="Raw Materials","P005")</f>
        <v>P002</v>
      </c>
    </row>
    <row r="560" spans="1:14" x14ac:dyDescent="0.2">
      <c r="A560" s="1" t="s">
        <v>574</v>
      </c>
      <c r="B560" s="2" t="s">
        <v>1</v>
      </c>
      <c r="C560" s="3">
        <v>44562</v>
      </c>
      <c r="D560" s="3">
        <v>44568</v>
      </c>
      <c r="E560" s="2" t="s">
        <v>15</v>
      </c>
      <c r="F560" s="2" t="s">
        <v>7</v>
      </c>
      <c r="G560" s="2">
        <v>1042</v>
      </c>
      <c r="H560" s="2">
        <v>36.74</v>
      </c>
      <c r="I560" s="2">
        <v>35.78</v>
      </c>
      <c r="J560" s="2">
        <v>33</v>
      </c>
      <c r="K560" s="2" t="s">
        <v>4</v>
      </c>
      <c r="L560" s="2" t="str">
        <f t="shared" si="8"/>
        <v>Delivered</v>
      </c>
      <c r="M560" t="str" cm="1">
        <f t="array" ref="M560">_xlfn.IFS(B560="Alpha_Inc","S001", B560="Delta_Logistics","S002", B560="Gamma_Co","S003", B560="Beta_Supplies","S004", B560="Epsilon_Group","S005")</f>
        <v>S001</v>
      </c>
      <c r="N560" t="str" cm="1">
        <f t="array" ref="N560">_xlfn.IFS(E560="Electronics","P001", E560="MRO","P002", E560="Office Supplies","P003", E560="Packaging","P004", E560="Raw Materials","P005")</f>
        <v>P005</v>
      </c>
    </row>
    <row r="561" spans="1:14" x14ac:dyDescent="0.2">
      <c r="A561" s="4" t="s">
        <v>575</v>
      </c>
      <c r="B561" s="5" t="s">
        <v>1</v>
      </c>
      <c r="C561" s="6">
        <v>44873</v>
      </c>
      <c r="D561" s="6">
        <f>Table1[[#This Row],[Order_Date]]+14</f>
        <v>44887</v>
      </c>
      <c r="E561" s="5" t="s">
        <v>15</v>
      </c>
      <c r="F561" s="5" t="s">
        <v>7</v>
      </c>
      <c r="G561" s="5">
        <v>313</v>
      </c>
      <c r="H561" s="5">
        <v>64.03</v>
      </c>
      <c r="I561" s="5">
        <v>57.74</v>
      </c>
      <c r="J561" s="5">
        <v>1</v>
      </c>
      <c r="K561" s="5" t="s">
        <v>4</v>
      </c>
      <c r="L561" s="5" t="str">
        <f t="shared" si="8"/>
        <v>Delivered</v>
      </c>
      <c r="M561" t="str" cm="1">
        <f t="array" ref="M561">_xlfn.IFS(B561="Alpha_Inc","S001", B561="Delta_Logistics","S002", B561="Gamma_Co","S003", B561="Beta_Supplies","S004", B561="Epsilon_Group","S005")</f>
        <v>S001</v>
      </c>
      <c r="N561" t="str" cm="1">
        <f t="array" ref="N561">_xlfn.IFS(E561="Electronics","P001", E561="MRO","P002", E561="Office Supplies","P003", E561="Packaging","P004", E561="Raw Materials","P005")</f>
        <v>P005</v>
      </c>
    </row>
    <row r="562" spans="1:14" x14ac:dyDescent="0.2">
      <c r="A562" s="1" t="s">
        <v>576</v>
      </c>
      <c r="B562" s="2" t="s">
        <v>1</v>
      </c>
      <c r="C562" s="3">
        <v>44855</v>
      </c>
      <c r="D562" s="3">
        <v>44875</v>
      </c>
      <c r="E562" s="2" t="s">
        <v>2</v>
      </c>
      <c r="F562" s="2" t="s">
        <v>7</v>
      </c>
      <c r="G562" s="2">
        <v>1126</v>
      </c>
      <c r="H562" s="2">
        <v>55.22</v>
      </c>
      <c r="I562" s="2">
        <v>50.38</v>
      </c>
      <c r="J562" s="2">
        <v>0</v>
      </c>
      <c r="K562" s="2" t="s">
        <v>4</v>
      </c>
      <c r="L562" s="2" t="str">
        <f t="shared" si="8"/>
        <v>Delivered</v>
      </c>
      <c r="M562" t="str" cm="1">
        <f t="array" ref="M562">_xlfn.IFS(B562="Alpha_Inc","S001", B562="Delta_Logistics","S002", B562="Gamma_Co","S003", B562="Beta_Supplies","S004", B562="Epsilon_Group","S005")</f>
        <v>S001</v>
      </c>
      <c r="N562" t="str" cm="1">
        <f t="array" ref="N562">_xlfn.IFS(E562="Electronics","P001", E562="MRO","P002", E562="Office Supplies","P003", E562="Packaging","P004", E562="Raw Materials","P005")</f>
        <v>P003</v>
      </c>
    </row>
    <row r="563" spans="1:14" x14ac:dyDescent="0.2">
      <c r="A563" s="4" t="s">
        <v>577</v>
      </c>
      <c r="B563" s="5" t="s">
        <v>9</v>
      </c>
      <c r="C563" s="6">
        <v>44777</v>
      </c>
      <c r="D563" s="6">
        <v>44792</v>
      </c>
      <c r="E563" s="5" t="s">
        <v>10</v>
      </c>
      <c r="F563" s="5" t="s">
        <v>7</v>
      </c>
      <c r="G563" s="5">
        <v>1645</v>
      </c>
      <c r="H563" s="5">
        <v>72.17</v>
      </c>
      <c r="I563" s="5">
        <v>64</v>
      </c>
      <c r="J563" s="5">
        <v>79</v>
      </c>
      <c r="K563" s="5" t="s">
        <v>4</v>
      </c>
      <c r="L563" s="5" t="str">
        <f t="shared" si="8"/>
        <v>Delivered</v>
      </c>
      <c r="M563" t="str" cm="1">
        <f t="array" ref="M563">_xlfn.IFS(B563="Alpha_Inc","S001", B563="Delta_Logistics","S002", B563="Gamma_Co","S003", B563="Beta_Supplies","S004", B563="Epsilon_Group","S005")</f>
        <v>S003</v>
      </c>
      <c r="N563" t="str" cm="1">
        <f t="array" ref="N563">_xlfn.IFS(E563="Electronics","P001", E563="MRO","P002", E563="Office Supplies","P003", E563="Packaging","P004", E563="Raw Materials","P005")</f>
        <v>P002</v>
      </c>
    </row>
    <row r="564" spans="1:14" x14ac:dyDescent="0.2">
      <c r="A564" s="1" t="s">
        <v>578</v>
      </c>
      <c r="B564" s="2" t="s">
        <v>12</v>
      </c>
      <c r="C564" s="3">
        <v>45002</v>
      </c>
      <c r="D564" s="3">
        <v>45005</v>
      </c>
      <c r="E564" s="2" t="s">
        <v>13</v>
      </c>
      <c r="F564" s="2" t="s">
        <v>7</v>
      </c>
      <c r="G564" s="2">
        <v>1053</v>
      </c>
      <c r="H564" s="2">
        <v>100.92</v>
      </c>
      <c r="I564" s="2">
        <v>92.35</v>
      </c>
      <c r="J564" s="2">
        <v>104</v>
      </c>
      <c r="K564" s="2" t="s">
        <v>4</v>
      </c>
      <c r="L564" s="2" t="str">
        <f t="shared" si="8"/>
        <v>Delivered</v>
      </c>
      <c r="M564" t="str" cm="1">
        <f t="array" ref="M564">_xlfn.IFS(B564="Alpha_Inc","S001", B564="Delta_Logistics","S002", B564="Gamma_Co","S003", B564="Beta_Supplies","S004", B564="Epsilon_Group","S005")</f>
        <v>S004</v>
      </c>
      <c r="N564" t="str" cm="1">
        <f t="array" ref="N564">_xlfn.IFS(E564="Electronics","P001", E564="MRO","P002", E564="Office Supplies","P003", E564="Packaging","P004", E564="Raw Materials","P005")</f>
        <v>P004</v>
      </c>
    </row>
    <row r="565" spans="1:14" x14ac:dyDescent="0.2">
      <c r="A565" s="4" t="s">
        <v>579</v>
      </c>
      <c r="B565" s="5" t="s">
        <v>18</v>
      </c>
      <c r="C565" s="6">
        <v>45155</v>
      </c>
      <c r="D565" s="6">
        <v>45167</v>
      </c>
      <c r="E565" s="5" t="s">
        <v>10</v>
      </c>
      <c r="F565" s="5" t="s">
        <v>7</v>
      </c>
      <c r="G565" s="5">
        <v>1693</v>
      </c>
      <c r="H565" s="5">
        <v>83.14</v>
      </c>
      <c r="I565" s="5">
        <v>73.3</v>
      </c>
      <c r="J565" s="5">
        <v>62</v>
      </c>
      <c r="K565" s="5" t="s">
        <v>4</v>
      </c>
      <c r="L565" s="5" t="str">
        <f t="shared" si="8"/>
        <v>Delivered</v>
      </c>
      <c r="M565" t="str" cm="1">
        <f t="array" ref="M565">_xlfn.IFS(B565="Alpha_Inc","S001", B565="Delta_Logistics","S002", B565="Gamma_Co","S003", B565="Beta_Supplies","S004", B565="Epsilon_Group","S005")</f>
        <v>S005</v>
      </c>
      <c r="N565" t="str" cm="1">
        <f t="array" ref="N565">_xlfn.IFS(E565="Electronics","P001", E565="MRO","P002", E565="Office Supplies","P003", E565="Packaging","P004", E565="Raw Materials","P005")</f>
        <v>P002</v>
      </c>
    </row>
    <row r="566" spans="1:14" x14ac:dyDescent="0.2">
      <c r="A566" s="1" t="s">
        <v>580</v>
      </c>
      <c r="B566" s="2" t="s">
        <v>18</v>
      </c>
      <c r="C566" s="3">
        <v>45183</v>
      </c>
      <c r="D566" s="3">
        <v>45202</v>
      </c>
      <c r="E566" s="2" t="s">
        <v>15</v>
      </c>
      <c r="F566" s="2" t="s">
        <v>24</v>
      </c>
      <c r="G566" s="2">
        <v>54</v>
      </c>
      <c r="H566" s="2">
        <v>32.28</v>
      </c>
      <c r="I566" s="2">
        <v>28.65</v>
      </c>
      <c r="J566" s="2">
        <v>3</v>
      </c>
      <c r="K566" s="2" t="s">
        <v>4</v>
      </c>
      <c r="L566" s="2" t="str">
        <f t="shared" si="8"/>
        <v>Pending</v>
      </c>
      <c r="M566" t="str" cm="1">
        <f t="array" ref="M566">_xlfn.IFS(B566="Alpha_Inc","S001", B566="Delta_Logistics","S002", B566="Gamma_Co","S003", B566="Beta_Supplies","S004", B566="Epsilon_Group","S005")</f>
        <v>S005</v>
      </c>
      <c r="N566" t="str" cm="1">
        <f t="array" ref="N566">_xlfn.IFS(E566="Electronics","P001", E566="MRO","P002", E566="Office Supplies","P003", E566="Packaging","P004", E566="Raw Materials","P005")</f>
        <v>P005</v>
      </c>
    </row>
    <row r="567" spans="1:14" x14ac:dyDescent="0.2">
      <c r="A567" s="4" t="s">
        <v>581</v>
      </c>
      <c r="B567" s="5" t="s">
        <v>18</v>
      </c>
      <c r="C567" s="6">
        <v>45232</v>
      </c>
      <c r="D567" s="6">
        <v>45237</v>
      </c>
      <c r="E567" s="5" t="s">
        <v>13</v>
      </c>
      <c r="F567" s="5" t="s">
        <v>7</v>
      </c>
      <c r="G567" s="5">
        <v>1176</v>
      </c>
      <c r="H567" s="5">
        <v>14.22</v>
      </c>
      <c r="I567" s="5">
        <v>12.21</v>
      </c>
      <c r="J567" s="5">
        <v>33</v>
      </c>
      <c r="K567" s="5" t="s">
        <v>4</v>
      </c>
      <c r="L567" s="5" t="str">
        <f t="shared" si="8"/>
        <v>Delivered</v>
      </c>
      <c r="M567" t="str" cm="1">
        <f t="array" ref="M567">_xlfn.IFS(B567="Alpha_Inc","S001", B567="Delta_Logistics","S002", B567="Gamma_Co","S003", B567="Beta_Supplies","S004", B567="Epsilon_Group","S005")</f>
        <v>S005</v>
      </c>
      <c r="N567" t="str" cm="1">
        <f t="array" ref="N567">_xlfn.IFS(E567="Electronics","P001", E567="MRO","P002", E567="Office Supplies","P003", E567="Packaging","P004", E567="Raw Materials","P005")</f>
        <v>P004</v>
      </c>
    </row>
    <row r="568" spans="1:14" x14ac:dyDescent="0.2">
      <c r="A568" s="1" t="s">
        <v>582</v>
      </c>
      <c r="B568" s="2" t="s">
        <v>18</v>
      </c>
      <c r="C568" s="3">
        <v>44891</v>
      </c>
      <c r="D568" s="3">
        <v>44903</v>
      </c>
      <c r="E568" s="2" t="s">
        <v>15</v>
      </c>
      <c r="F568" s="2" t="s">
        <v>7</v>
      </c>
      <c r="G568" s="2">
        <v>1269</v>
      </c>
      <c r="H568" s="2">
        <v>35.28</v>
      </c>
      <c r="I568" s="2">
        <v>33.700000000000003</v>
      </c>
      <c r="J568" s="2">
        <v>35</v>
      </c>
      <c r="K568" s="2" t="s">
        <v>4</v>
      </c>
      <c r="L568" s="2" t="str">
        <f t="shared" si="8"/>
        <v>Delivered</v>
      </c>
      <c r="M568" t="str" cm="1">
        <f t="array" ref="M568">_xlfn.IFS(B568="Alpha_Inc","S001", B568="Delta_Logistics","S002", B568="Gamma_Co","S003", B568="Beta_Supplies","S004", B568="Epsilon_Group","S005")</f>
        <v>S005</v>
      </c>
      <c r="N568" t="str" cm="1">
        <f t="array" ref="N568">_xlfn.IFS(E568="Electronics","P001", E568="MRO","P002", E568="Office Supplies","P003", E568="Packaging","P004", E568="Raw Materials","P005")</f>
        <v>P005</v>
      </c>
    </row>
    <row r="569" spans="1:14" x14ac:dyDescent="0.2">
      <c r="A569" s="4" t="s">
        <v>583</v>
      </c>
      <c r="B569" s="5" t="s">
        <v>18</v>
      </c>
      <c r="C569" s="6">
        <v>45038</v>
      </c>
      <c r="D569" s="6">
        <v>45041</v>
      </c>
      <c r="E569" s="5" t="s">
        <v>15</v>
      </c>
      <c r="F569" s="5" t="s">
        <v>7</v>
      </c>
      <c r="G569" s="5">
        <v>823</v>
      </c>
      <c r="H569" s="5">
        <v>68.319999999999993</v>
      </c>
      <c r="I569" s="5">
        <v>64.459999999999994</v>
      </c>
      <c r="J569" s="5">
        <v>19</v>
      </c>
      <c r="K569" s="5" t="s">
        <v>4</v>
      </c>
      <c r="L569" s="5" t="str">
        <f t="shared" si="8"/>
        <v>Delivered</v>
      </c>
      <c r="M569" t="str" cm="1">
        <f t="array" ref="M569">_xlfn.IFS(B569="Alpha_Inc","S001", B569="Delta_Logistics","S002", B569="Gamma_Co","S003", B569="Beta_Supplies","S004", B569="Epsilon_Group","S005")</f>
        <v>S005</v>
      </c>
      <c r="N569" t="str" cm="1">
        <f t="array" ref="N569">_xlfn.IFS(E569="Electronics","P001", E569="MRO","P002", E569="Office Supplies","P003", E569="Packaging","P004", E569="Raw Materials","P005")</f>
        <v>P005</v>
      </c>
    </row>
    <row r="570" spans="1:14" x14ac:dyDescent="0.2">
      <c r="A570" s="1" t="s">
        <v>584</v>
      </c>
      <c r="B570" s="2" t="s">
        <v>12</v>
      </c>
      <c r="C570" s="3">
        <v>45014</v>
      </c>
      <c r="D570" s="3">
        <v>45031</v>
      </c>
      <c r="E570" s="2" t="s">
        <v>28</v>
      </c>
      <c r="F570" s="2" t="s">
        <v>7</v>
      </c>
      <c r="G570" s="2">
        <v>926</v>
      </c>
      <c r="H570" s="2">
        <v>15.65</v>
      </c>
      <c r="I570" s="2">
        <v>13.49</v>
      </c>
      <c r="J570" s="2">
        <v>94</v>
      </c>
      <c r="K570" s="2" t="s">
        <v>16</v>
      </c>
      <c r="L570" s="2" t="str">
        <f t="shared" si="8"/>
        <v>Delivered</v>
      </c>
      <c r="M570" t="str" cm="1">
        <f t="array" ref="M570">_xlfn.IFS(B570="Alpha_Inc","S001", B570="Delta_Logistics","S002", B570="Gamma_Co","S003", B570="Beta_Supplies","S004", B570="Epsilon_Group","S005")</f>
        <v>S004</v>
      </c>
      <c r="N570" t="str" cm="1">
        <f t="array" ref="N570">_xlfn.IFS(E570="Electronics","P001", E570="MRO","P002", E570="Office Supplies","P003", E570="Packaging","P004", E570="Raw Materials","P005")</f>
        <v>P001</v>
      </c>
    </row>
    <row r="571" spans="1:14" x14ac:dyDescent="0.2">
      <c r="A571" s="4" t="s">
        <v>585</v>
      </c>
      <c r="B571" s="5" t="s">
        <v>6</v>
      </c>
      <c r="C571" s="6">
        <v>45014</v>
      </c>
      <c r="D571" s="6">
        <v>45025</v>
      </c>
      <c r="E571" s="5" t="s">
        <v>28</v>
      </c>
      <c r="F571" s="5" t="s">
        <v>3</v>
      </c>
      <c r="G571" s="5">
        <v>1041</v>
      </c>
      <c r="H571" s="5">
        <v>58.5</v>
      </c>
      <c r="I571" s="5">
        <v>52.54</v>
      </c>
      <c r="J571" s="5">
        <v>170</v>
      </c>
      <c r="K571" s="5" t="s">
        <v>16</v>
      </c>
      <c r="L571" s="5" t="str">
        <f t="shared" si="8"/>
        <v>Cancelled</v>
      </c>
      <c r="M571" t="str" cm="1">
        <f t="array" ref="M571">_xlfn.IFS(B571="Alpha_Inc","S001", B571="Delta_Logistics","S002", B571="Gamma_Co","S003", B571="Beta_Supplies","S004", B571="Epsilon_Group","S005")</f>
        <v>S002</v>
      </c>
      <c r="N571" t="str" cm="1">
        <f t="array" ref="N571">_xlfn.IFS(E571="Electronics","P001", E571="MRO","P002", E571="Office Supplies","P003", E571="Packaging","P004", E571="Raw Materials","P005")</f>
        <v>P001</v>
      </c>
    </row>
    <row r="572" spans="1:14" x14ac:dyDescent="0.2">
      <c r="A572" s="1" t="s">
        <v>586</v>
      </c>
      <c r="B572" s="2" t="s">
        <v>9</v>
      </c>
      <c r="C572" s="3">
        <v>45253</v>
      </c>
      <c r="D572" s="3">
        <v>45261</v>
      </c>
      <c r="E572" s="2" t="s">
        <v>28</v>
      </c>
      <c r="F572" s="2" t="s">
        <v>24</v>
      </c>
      <c r="G572" s="2">
        <v>933</v>
      </c>
      <c r="H572" s="2">
        <v>70.72</v>
      </c>
      <c r="I572" s="2">
        <v>65.47</v>
      </c>
      <c r="J572" s="2">
        <v>42</v>
      </c>
      <c r="K572" s="2" t="s">
        <v>4</v>
      </c>
      <c r="L572" s="2" t="str">
        <f t="shared" si="8"/>
        <v>Pending</v>
      </c>
      <c r="M572" t="str" cm="1">
        <f t="array" ref="M572">_xlfn.IFS(B572="Alpha_Inc","S001", B572="Delta_Logistics","S002", B572="Gamma_Co","S003", B572="Beta_Supplies","S004", B572="Epsilon_Group","S005")</f>
        <v>S003</v>
      </c>
      <c r="N572" t="str" cm="1">
        <f t="array" ref="N572">_xlfn.IFS(E572="Electronics","P001", E572="MRO","P002", E572="Office Supplies","P003", E572="Packaging","P004", E572="Raw Materials","P005")</f>
        <v>P001</v>
      </c>
    </row>
    <row r="573" spans="1:14" x14ac:dyDescent="0.2">
      <c r="A573" s="4" t="s">
        <v>587</v>
      </c>
      <c r="B573" s="5" t="s">
        <v>6</v>
      </c>
      <c r="C573" s="6">
        <v>44780</v>
      </c>
      <c r="D573" s="6">
        <f>Table1[[#This Row],[Order_Date]]+14</f>
        <v>44794</v>
      </c>
      <c r="E573" s="5" t="s">
        <v>15</v>
      </c>
      <c r="F573" s="5" t="s">
        <v>7</v>
      </c>
      <c r="G573" s="5">
        <v>1423</v>
      </c>
      <c r="H573" s="5">
        <v>41.48</v>
      </c>
      <c r="I573" s="5">
        <v>40.9</v>
      </c>
      <c r="J573" s="5">
        <v>199</v>
      </c>
      <c r="K573" s="5" t="s">
        <v>4</v>
      </c>
      <c r="L573" s="5" t="str">
        <f t="shared" si="8"/>
        <v>Delivered</v>
      </c>
      <c r="M573" t="str" cm="1">
        <f t="array" ref="M573">_xlfn.IFS(B573="Alpha_Inc","S001", B573="Delta_Logistics","S002", B573="Gamma_Co","S003", B573="Beta_Supplies","S004", B573="Epsilon_Group","S005")</f>
        <v>S002</v>
      </c>
      <c r="N573" t="str" cm="1">
        <f t="array" ref="N573">_xlfn.IFS(E573="Electronics","P001", E573="MRO","P002", E573="Office Supplies","P003", E573="Packaging","P004", E573="Raw Materials","P005")</f>
        <v>P005</v>
      </c>
    </row>
    <row r="574" spans="1:14" x14ac:dyDescent="0.2">
      <c r="A574" s="1" t="s">
        <v>588</v>
      </c>
      <c r="B574" s="2" t="s">
        <v>6</v>
      </c>
      <c r="C574" s="3">
        <v>45085</v>
      </c>
      <c r="D574" s="3">
        <v>45091</v>
      </c>
      <c r="E574" s="2" t="s">
        <v>10</v>
      </c>
      <c r="F574" s="2" t="s">
        <v>7</v>
      </c>
      <c r="G574" s="2">
        <v>96</v>
      </c>
      <c r="H574" s="2">
        <v>86.13</v>
      </c>
      <c r="I574" s="2">
        <v>80.319999999999993</v>
      </c>
      <c r="J574" s="2">
        <v>12</v>
      </c>
      <c r="K574" s="2" t="s">
        <v>16</v>
      </c>
      <c r="L574" s="2" t="str">
        <f t="shared" si="8"/>
        <v>Delivered</v>
      </c>
      <c r="M574" t="str" cm="1">
        <f t="array" ref="M574">_xlfn.IFS(B574="Alpha_Inc","S001", B574="Delta_Logistics","S002", B574="Gamma_Co","S003", B574="Beta_Supplies","S004", B574="Epsilon_Group","S005")</f>
        <v>S002</v>
      </c>
      <c r="N574" t="str" cm="1">
        <f t="array" ref="N574">_xlfn.IFS(E574="Electronics","P001", E574="MRO","P002", E574="Office Supplies","P003", E574="Packaging","P004", E574="Raw Materials","P005")</f>
        <v>P002</v>
      </c>
    </row>
    <row r="575" spans="1:14" x14ac:dyDescent="0.2">
      <c r="A575" s="4" t="s">
        <v>589</v>
      </c>
      <c r="B575" s="5" t="s">
        <v>18</v>
      </c>
      <c r="C575" s="6">
        <v>45046</v>
      </c>
      <c r="D575" s="6">
        <v>45059</v>
      </c>
      <c r="E575" s="5" t="s">
        <v>10</v>
      </c>
      <c r="F575" s="5" t="s">
        <v>7</v>
      </c>
      <c r="G575" s="5">
        <v>916</v>
      </c>
      <c r="H575" s="5">
        <v>21.06</v>
      </c>
      <c r="I575" s="5">
        <v>19.53</v>
      </c>
      <c r="J575" s="5">
        <v>25</v>
      </c>
      <c r="K575" s="5" t="s">
        <v>4</v>
      </c>
      <c r="L575" s="5" t="str">
        <f t="shared" si="8"/>
        <v>Delivered</v>
      </c>
      <c r="M575" t="str" cm="1">
        <f t="array" ref="M575">_xlfn.IFS(B575="Alpha_Inc","S001", B575="Delta_Logistics","S002", B575="Gamma_Co","S003", B575="Beta_Supplies","S004", B575="Epsilon_Group","S005")</f>
        <v>S005</v>
      </c>
      <c r="N575" t="str" cm="1">
        <f t="array" ref="N575">_xlfn.IFS(E575="Electronics","P001", E575="MRO","P002", E575="Office Supplies","P003", E575="Packaging","P004", E575="Raw Materials","P005")</f>
        <v>P002</v>
      </c>
    </row>
    <row r="576" spans="1:14" x14ac:dyDescent="0.2">
      <c r="A576" s="1" t="s">
        <v>590</v>
      </c>
      <c r="B576" s="2" t="s">
        <v>18</v>
      </c>
      <c r="C576" s="3">
        <v>44735</v>
      </c>
      <c r="D576" s="3">
        <f>Table1[[#This Row],[Order_Date]]+14</f>
        <v>44749</v>
      </c>
      <c r="E576" s="2" t="s">
        <v>15</v>
      </c>
      <c r="F576" s="2" t="s">
        <v>7</v>
      </c>
      <c r="G576" s="2">
        <v>872</v>
      </c>
      <c r="H576" s="2">
        <v>17.18</v>
      </c>
      <c r="I576" s="2">
        <v>16.63</v>
      </c>
      <c r="J576" s="2">
        <v>20</v>
      </c>
      <c r="K576" s="2" t="s">
        <v>4</v>
      </c>
      <c r="L576" s="2" t="str">
        <f t="shared" si="8"/>
        <v>Delivered</v>
      </c>
      <c r="M576" t="str" cm="1">
        <f t="array" ref="M576">_xlfn.IFS(B576="Alpha_Inc","S001", B576="Delta_Logistics","S002", B576="Gamma_Co","S003", B576="Beta_Supplies","S004", B576="Epsilon_Group","S005")</f>
        <v>S005</v>
      </c>
      <c r="N576" t="str" cm="1">
        <f t="array" ref="N576">_xlfn.IFS(E576="Electronics","P001", E576="MRO","P002", E576="Office Supplies","P003", E576="Packaging","P004", E576="Raw Materials","P005")</f>
        <v>P005</v>
      </c>
    </row>
    <row r="577" spans="1:14" x14ac:dyDescent="0.2">
      <c r="A577" s="4" t="s">
        <v>591</v>
      </c>
      <c r="B577" s="5" t="s">
        <v>12</v>
      </c>
      <c r="C577" s="6">
        <v>45236</v>
      </c>
      <c r="D577" s="6">
        <v>45245</v>
      </c>
      <c r="E577" s="5" t="s">
        <v>28</v>
      </c>
      <c r="F577" s="5" t="s">
        <v>7</v>
      </c>
      <c r="G577" s="5">
        <v>985</v>
      </c>
      <c r="H577" s="5">
        <v>83.85</v>
      </c>
      <c r="I577" s="5">
        <v>80.88</v>
      </c>
      <c r="J577" s="5">
        <v>0</v>
      </c>
      <c r="K577" s="5" t="s">
        <v>16</v>
      </c>
      <c r="L577" s="5" t="str">
        <f t="shared" si="8"/>
        <v>Delivered</v>
      </c>
      <c r="M577" t="str" cm="1">
        <f t="array" ref="M577">_xlfn.IFS(B577="Alpha_Inc","S001", B577="Delta_Logistics","S002", B577="Gamma_Co","S003", B577="Beta_Supplies","S004", B577="Epsilon_Group","S005")</f>
        <v>S004</v>
      </c>
      <c r="N577" t="str" cm="1">
        <f t="array" ref="N577">_xlfn.IFS(E577="Electronics","P001", E577="MRO","P002", E577="Office Supplies","P003", E577="Packaging","P004", E577="Raw Materials","P005")</f>
        <v>P001</v>
      </c>
    </row>
    <row r="578" spans="1:14" x14ac:dyDescent="0.2">
      <c r="A578" s="1" t="s">
        <v>592</v>
      </c>
      <c r="B578" s="2" t="s">
        <v>9</v>
      </c>
      <c r="C578" s="3">
        <v>44648</v>
      </c>
      <c r="D578" s="3">
        <v>44655</v>
      </c>
      <c r="E578" s="2" t="s">
        <v>15</v>
      </c>
      <c r="F578" s="2" t="s">
        <v>7</v>
      </c>
      <c r="G578" s="2">
        <v>1893</v>
      </c>
      <c r="H578" s="2">
        <v>55.14</v>
      </c>
      <c r="I578" s="2">
        <v>50.1</v>
      </c>
      <c r="J578" s="2">
        <v>98</v>
      </c>
      <c r="K578" s="2" t="s">
        <v>4</v>
      </c>
      <c r="L578" s="2" t="str">
        <f t="shared" ref="L578:L641" si="9">IF(F578="Delivered", IF(E578="","Date Missing","Delivered"), F578)</f>
        <v>Delivered</v>
      </c>
      <c r="M578" t="str" cm="1">
        <f t="array" ref="M578">_xlfn.IFS(B578="Alpha_Inc","S001", B578="Delta_Logistics","S002", B578="Gamma_Co","S003", B578="Beta_Supplies","S004", B578="Epsilon_Group","S005")</f>
        <v>S003</v>
      </c>
      <c r="N578" t="str" cm="1">
        <f t="array" ref="N578">_xlfn.IFS(E578="Electronics","P001", E578="MRO","P002", E578="Office Supplies","P003", E578="Packaging","P004", E578="Raw Materials","P005")</f>
        <v>P005</v>
      </c>
    </row>
    <row r="579" spans="1:14" x14ac:dyDescent="0.2">
      <c r="A579" s="4" t="s">
        <v>593</v>
      </c>
      <c r="B579" s="5" t="s">
        <v>1</v>
      </c>
      <c r="C579" s="6">
        <v>44852</v>
      </c>
      <c r="D579" s="6">
        <f>Table1[[#This Row],[Order_Date]]+14</f>
        <v>44866</v>
      </c>
      <c r="E579" s="5" t="s">
        <v>10</v>
      </c>
      <c r="F579" s="5" t="s">
        <v>7</v>
      </c>
      <c r="G579" s="5">
        <v>705</v>
      </c>
      <c r="H579" s="5">
        <v>75.19</v>
      </c>
      <c r="I579" s="5">
        <v>69.55</v>
      </c>
      <c r="J579" s="5">
        <v>19</v>
      </c>
      <c r="K579" s="5" t="s">
        <v>4</v>
      </c>
      <c r="L579" s="5" t="str">
        <f t="shared" si="9"/>
        <v>Delivered</v>
      </c>
      <c r="M579" t="str" cm="1">
        <f t="array" ref="M579">_xlfn.IFS(B579="Alpha_Inc","S001", B579="Delta_Logistics","S002", B579="Gamma_Co","S003", B579="Beta_Supplies","S004", B579="Epsilon_Group","S005")</f>
        <v>S001</v>
      </c>
      <c r="N579" t="str" cm="1">
        <f t="array" ref="N579">_xlfn.IFS(E579="Electronics","P001", E579="MRO","P002", E579="Office Supplies","P003", E579="Packaging","P004", E579="Raw Materials","P005")</f>
        <v>P002</v>
      </c>
    </row>
    <row r="580" spans="1:14" x14ac:dyDescent="0.2">
      <c r="A580" s="1" t="s">
        <v>594</v>
      </c>
      <c r="B580" s="2" t="s">
        <v>6</v>
      </c>
      <c r="C580" s="3">
        <v>45089</v>
      </c>
      <c r="D580" s="3">
        <v>45105</v>
      </c>
      <c r="E580" s="2" t="s">
        <v>10</v>
      </c>
      <c r="F580" s="2" t="s">
        <v>7</v>
      </c>
      <c r="G580" s="2">
        <v>318</v>
      </c>
      <c r="H580" s="2">
        <v>53.31</v>
      </c>
      <c r="I580" s="2">
        <v>51.78</v>
      </c>
      <c r="J580" s="2">
        <v>0</v>
      </c>
      <c r="K580" s="2" t="s">
        <v>16</v>
      </c>
      <c r="L580" s="2" t="str">
        <f t="shared" si="9"/>
        <v>Delivered</v>
      </c>
      <c r="M580" t="str" cm="1">
        <f t="array" ref="M580">_xlfn.IFS(B580="Alpha_Inc","S001", B580="Delta_Logistics","S002", B580="Gamma_Co","S003", B580="Beta_Supplies","S004", B580="Epsilon_Group","S005")</f>
        <v>S002</v>
      </c>
      <c r="N580" t="str" cm="1">
        <f t="array" ref="N580">_xlfn.IFS(E580="Electronics","P001", E580="MRO","P002", E580="Office Supplies","P003", E580="Packaging","P004", E580="Raw Materials","P005")</f>
        <v>P002</v>
      </c>
    </row>
    <row r="581" spans="1:14" x14ac:dyDescent="0.2">
      <c r="A581" s="4" t="s">
        <v>595</v>
      </c>
      <c r="B581" s="5" t="s">
        <v>1</v>
      </c>
      <c r="C581" s="6">
        <v>45241</v>
      </c>
      <c r="D581" s="6">
        <v>45246</v>
      </c>
      <c r="E581" s="5" t="s">
        <v>2</v>
      </c>
      <c r="F581" s="5" t="s">
        <v>24</v>
      </c>
      <c r="G581" s="5">
        <v>419</v>
      </c>
      <c r="H581" s="5">
        <v>35.72</v>
      </c>
      <c r="I581" s="5">
        <v>32.74</v>
      </c>
      <c r="J581" s="5">
        <v>7</v>
      </c>
      <c r="K581" s="5" t="s">
        <v>4</v>
      </c>
      <c r="L581" s="5" t="str">
        <f t="shared" si="9"/>
        <v>Pending</v>
      </c>
      <c r="M581" t="str" cm="1">
        <f t="array" ref="M581">_xlfn.IFS(B581="Alpha_Inc","S001", B581="Delta_Logistics","S002", B581="Gamma_Co","S003", B581="Beta_Supplies","S004", B581="Epsilon_Group","S005")</f>
        <v>S001</v>
      </c>
      <c r="N581" t="str" cm="1">
        <f t="array" ref="N581">_xlfn.IFS(E581="Electronics","P001", E581="MRO","P002", E581="Office Supplies","P003", E581="Packaging","P004", E581="Raw Materials","P005")</f>
        <v>P003</v>
      </c>
    </row>
    <row r="582" spans="1:14" x14ac:dyDescent="0.2">
      <c r="A582" s="1" t="s">
        <v>596</v>
      </c>
      <c r="B582" s="2" t="s">
        <v>9</v>
      </c>
      <c r="C582" s="3">
        <v>45210</v>
      </c>
      <c r="D582" s="3">
        <v>45225</v>
      </c>
      <c r="E582" s="2" t="s">
        <v>10</v>
      </c>
      <c r="F582" s="2" t="s">
        <v>7</v>
      </c>
      <c r="G582" s="2">
        <v>685</v>
      </c>
      <c r="H582" s="2">
        <v>92.51</v>
      </c>
      <c r="I582" s="2">
        <v>90.05</v>
      </c>
      <c r="J582" s="2">
        <v>38</v>
      </c>
      <c r="K582" s="2" t="s">
        <v>4</v>
      </c>
      <c r="L582" s="2" t="str">
        <f t="shared" si="9"/>
        <v>Delivered</v>
      </c>
      <c r="M582" t="str" cm="1">
        <f t="array" ref="M582">_xlfn.IFS(B582="Alpha_Inc","S001", B582="Delta_Logistics","S002", B582="Gamma_Co","S003", B582="Beta_Supplies","S004", B582="Epsilon_Group","S005")</f>
        <v>S003</v>
      </c>
      <c r="N582" t="str" cm="1">
        <f t="array" ref="N582">_xlfn.IFS(E582="Electronics","P001", E582="MRO","P002", E582="Office Supplies","P003", E582="Packaging","P004", E582="Raw Materials","P005")</f>
        <v>P002</v>
      </c>
    </row>
    <row r="583" spans="1:14" x14ac:dyDescent="0.2">
      <c r="A583" s="4" t="s">
        <v>597</v>
      </c>
      <c r="B583" s="5" t="s">
        <v>6</v>
      </c>
      <c r="C583" s="6">
        <v>45196</v>
      </c>
      <c r="D583" s="6">
        <v>45211</v>
      </c>
      <c r="E583" s="5" t="s">
        <v>2</v>
      </c>
      <c r="F583" s="5" t="s">
        <v>22</v>
      </c>
      <c r="G583" s="5">
        <v>1179</v>
      </c>
      <c r="H583" s="5">
        <v>90.14</v>
      </c>
      <c r="I583" s="5">
        <v>82.63</v>
      </c>
      <c r="J583" s="5">
        <v>194</v>
      </c>
      <c r="K583" s="5" t="s">
        <v>4</v>
      </c>
      <c r="L583" s="5" t="str">
        <f t="shared" si="9"/>
        <v>Partially Delivered</v>
      </c>
      <c r="M583" t="str" cm="1">
        <f t="array" ref="M583">_xlfn.IFS(B583="Alpha_Inc","S001", B583="Delta_Logistics","S002", B583="Gamma_Co","S003", B583="Beta_Supplies","S004", B583="Epsilon_Group","S005")</f>
        <v>S002</v>
      </c>
      <c r="N583" t="str" cm="1">
        <f t="array" ref="N583">_xlfn.IFS(E583="Electronics","P001", E583="MRO","P002", E583="Office Supplies","P003", E583="Packaging","P004", E583="Raw Materials","P005")</f>
        <v>P003</v>
      </c>
    </row>
    <row r="584" spans="1:14" x14ac:dyDescent="0.2">
      <c r="A584" s="1" t="s">
        <v>598</v>
      </c>
      <c r="B584" s="2" t="s">
        <v>1</v>
      </c>
      <c r="C584" s="3">
        <v>44905</v>
      </c>
      <c r="D584" s="3">
        <f>Table1[[#This Row],[Order_Date]]+14</f>
        <v>44919</v>
      </c>
      <c r="E584" s="2" t="s">
        <v>15</v>
      </c>
      <c r="F584" s="2" t="s">
        <v>7</v>
      </c>
      <c r="G584" s="2">
        <v>1743</v>
      </c>
      <c r="H584" s="2">
        <v>76.510000000000005</v>
      </c>
      <c r="I584" s="2">
        <v>65.88</v>
      </c>
      <c r="J584" s="2">
        <v>40</v>
      </c>
      <c r="K584" s="2" t="s">
        <v>4</v>
      </c>
      <c r="L584" s="2" t="str">
        <f t="shared" si="9"/>
        <v>Delivered</v>
      </c>
      <c r="M584" t="str" cm="1">
        <f t="array" ref="M584">_xlfn.IFS(B584="Alpha_Inc","S001", B584="Delta_Logistics","S002", B584="Gamma_Co","S003", B584="Beta_Supplies","S004", B584="Epsilon_Group","S005")</f>
        <v>S001</v>
      </c>
      <c r="N584" t="str" cm="1">
        <f t="array" ref="N584">_xlfn.IFS(E584="Electronics","P001", E584="MRO","P002", E584="Office Supplies","P003", E584="Packaging","P004", E584="Raw Materials","P005")</f>
        <v>P005</v>
      </c>
    </row>
    <row r="585" spans="1:14" x14ac:dyDescent="0.2">
      <c r="A585" s="4" t="s">
        <v>599</v>
      </c>
      <c r="B585" s="5" t="s">
        <v>1</v>
      </c>
      <c r="C585" s="6">
        <v>44657</v>
      </c>
      <c r="D585" s="6">
        <v>44668</v>
      </c>
      <c r="E585" s="5" t="s">
        <v>10</v>
      </c>
      <c r="F585" s="5" t="s">
        <v>7</v>
      </c>
      <c r="G585" s="5">
        <v>1732</v>
      </c>
      <c r="H585" s="5">
        <v>35.01</v>
      </c>
      <c r="I585" s="5">
        <v>34.18</v>
      </c>
      <c r="J585" s="5">
        <v>40</v>
      </c>
      <c r="K585" s="5" t="s">
        <v>4</v>
      </c>
      <c r="L585" s="5" t="str">
        <f t="shared" si="9"/>
        <v>Delivered</v>
      </c>
      <c r="M585" t="str" cm="1">
        <f t="array" ref="M585">_xlfn.IFS(B585="Alpha_Inc","S001", B585="Delta_Logistics","S002", B585="Gamma_Co","S003", B585="Beta_Supplies","S004", B585="Epsilon_Group","S005")</f>
        <v>S001</v>
      </c>
      <c r="N585" t="str" cm="1">
        <f t="array" ref="N585">_xlfn.IFS(E585="Electronics","P001", E585="MRO","P002", E585="Office Supplies","P003", E585="Packaging","P004", E585="Raw Materials","P005")</f>
        <v>P002</v>
      </c>
    </row>
    <row r="586" spans="1:14" x14ac:dyDescent="0.2">
      <c r="A586" s="1" t="s">
        <v>600</v>
      </c>
      <c r="B586" s="2" t="s">
        <v>12</v>
      </c>
      <c r="C586" s="3">
        <v>44802</v>
      </c>
      <c r="D586" s="3">
        <v>44805</v>
      </c>
      <c r="E586" s="2" t="s">
        <v>2</v>
      </c>
      <c r="F586" s="2" t="s">
        <v>7</v>
      </c>
      <c r="G586" s="2">
        <v>706</v>
      </c>
      <c r="H586" s="2">
        <v>65.33</v>
      </c>
      <c r="I586" s="2">
        <v>62.06</v>
      </c>
      <c r="J586" s="2">
        <v>60</v>
      </c>
      <c r="K586" s="2" t="s">
        <v>16</v>
      </c>
      <c r="L586" s="2" t="str">
        <f t="shared" si="9"/>
        <v>Delivered</v>
      </c>
      <c r="M586" t="str" cm="1">
        <f t="array" ref="M586">_xlfn.IFS(B586="Alpha_Inc","S001", B586="Delta_Logistics","S002", B586="Gamma_Co","S003", B586="Beta_Supplies","S004", B586="Epsilon_Group","S005")</f>
        <v>S004</v>
      </c>
      <c r="N586" t="str" cm="1">
        <f t="array" ref="N586">_xlfn.IFS(E586="Electronics","P001", E586="MRO","P002", E586="Office Supplies","P003", E586="Packaging","P004", E586="Raw Materials","P005")</f>
        <v>P003</v>
      </c>
    </row>
    <row r="587" spans="1:14" x14ac:dyDescent="0.2">
      <c r="A587" s="4" t="s">
        <v>601</v>
      </c>
      <c r="B587" s="5" t="s">
        <v>9</v>
      </c>
      <c r="C587" s="6">
        <v>45250</v>
      </c>
      <c r="D587" s="6">
        <v>45260</v>
      </c>
      <c r="E587" s="5" t="s">
        <v>10</v>
      </c>
      <c r="F587" s="5" t="s">
        <v>3</v>
      </c>
      <c r="G587" s="5">
        <v>169</v>
      </c>
      <c r="H587" s="5">
        <v>47.16</v>
      </c>
      <c r="I587" s="5">
        <v>43.4</v>
      </c>
      <c r="J587" s="5">
        <v>0</v>
      </c>
      <c r="K587" s="5" t="s">
        <v>4</v>
      </c>
      <c r="L587" s="5" t="str">
        <f t="shared" si="9"/>
        <v>Cancelled</v>
      </c>
      <c r="M587" t="str" cm="1">
        <f t="array" ref="M587">_xlfn.IFS(B587="Alpha_Inc","S001", B587="Delta_Logistics","S002", B587="Gamma_Co","S003", B587="Beta_Supplies","S004", B587="Epsilon_Group","S005")</f>
        <v>S003</v>
      </c>
      <c r="N587" t="str" cm="1">
        <f t="array" ref="N587">_xlfn.IFS(E587="Electronics","P001", E587="MRO","P002", E587="Office Supplies","P003", E587="Packaging","P004", E587="Raw Materials","P005")</f>
        <v>P002</v>
      </c>
    </row>
    <row r="588" spans="1:14" x14ac:dyDescent="0.2">
      <c r="A588" s="1" t="s">
        <v>602</v>
      </c>
      <c r="B588" s="2" t="s">
        <v>9</v>
      </c>
      <c r="C588" s="3">
        <v>44879</v>
      </c>
      <c r="D588" s="3">
        <v>44885</v>
      </c>
      <c r="E588" s="2" t="s">
        <v>2</v>
      </c>
      <c r="F588" s="2" t="s">
        <v>24</v>
      </c>
      <c r="G588" s="2">
        <v>880</v>
      </c>
      <c r="H588" s="2">
        <v>19.149999999999999</v>
      </c>
      <c r="I588" s="2">
        <v>18.690000000000001</v>
      </c>
      <c r="J588" s="2">
        <v>0</v>
      </c>
      <c r="K588" s="2" t="s">
        <v>16</v>
      </c>
      <c r="L588" s="2" t="str">
        <f t="shared" si="9"/>
        <v>Pending</v>
      </c>
      <c r="M588" t="str" cm="1">
        <f t="array" ref="M588">_xlfn.IFS(B588="Alpha_Inc","S001", B588="Delta_Logistics","S002", B588="Gamma_Co","S003", B588="Beta_Supplies","S004", B588="Epsilon_Group","S005")</f>
        <v>S003</v>
      </c>
      <c r="N588" t="str" cm="1">
        <f t="array" ref="N588">_xlfn.IFS(E588="Electronics","P001", E588="MRO","P002", E588="Office Supplies","P003", E588="Packaging","P004", E588="Raw Materials","P005")</f>
        <v>P003</v>
      </c>
    </row>
    <row r="589" spans="1:14" x14ac:dyDescent="0.2">
      <c r="A589" s="4" t="s">
        <v>603</v>
      </c>
      <c r="B589" s="5" t="s">
        <v>9</v>
      </c>
      <c r="C589" s="6">
        <v>44792</v>
      </c>
      <c r="D589" s="6">
        <v>44798</v>
      </c>
      <c r="E589" s="5" t="s">
        <v>10</v>
      </c>
      <c r="F589" s="5" t="s">
        <v>7</v>
      </c>
      <c r="G589" s="5">
        <v>1860</v>
      </c>
      <c r="H589" s="5">
        <v>95.8</v>
      </c>
      <c r="I589" s="5">
        <v>92.17</v>
      </c>
      <c r="J589" s="5">
        <v>105</v>
      </c>
      <c r="K589" s="5" t="s">
        <v>16</v>
      </c>
      <c r="L589" s="5" t="str">
        <f t="shared" si="9"/>
        <v>Delivered</v>
      </c>
      <c r="M589" t="str" cm="1">
        <f t="array" ref="M589">_xlfn.IFS(B589="Alpha_Inc","S001", B589="Delta_Logistics","S002", B589="Gamma_Co","S003", B589="Beta_Supplies","S004", B589="Epsilon_Group","S005")</f>
        <v>S003</v>
      </c>
      <c r="N589" t="str" cm="1">
        <f t="array" ref="N589">_xlfn.IFS(E589="Electronics","P001", E589="MRO","P002", E589="Office Supplies","P003", E589="Packaging","P004", E589="Raw Materials","P005")</f>
        <v>P002</v>
      </c>
    </row>
    <row r="590" spans="1:14" x14ac:dyDescent="0.2">
      <c r="A590" s="1" t="s">
        <v>604</v>
      </c>
      <c r="B590" s="2" t="s">
        <v>6</v>
      </c>
      <c r="C590" s="3">
        <v>44765</v>
      </c>
      <c r="D590" s="3">
        <v>44782</v>
      </c>
      <c r="E590" s="2" t="s">
        <v>10</v>
      </c>
      <c r="F590" s="2" t="s">
        <v>7</v>
      </c>
      <c r="G590" s="2">
        <v>1677</v>
      </c>
      <c r="H590" s="2">
        <v>22.98</v>
      </c>
      <c r="I590" s="2">
        <v>21.71</v>
      </c>
      <c r="J590" s="2">
        <v>246</v>
      </c>
      <c r="K590" s="2" t="s">
        <v>4</v>
      </c>
      <c r="L590" s="2" t="str">
        <f t="shared" si="9"/>
        <v>Delivered</v>
      </c>
      <c r="M590" t="str" cm="1">
        <f t="array" ref="M590">_xlfn.IFS(B590="Alpha_Inc","S001", B590="Delta_Logistics","S002", B590="Gamma_Co","S003", B590="Beta_Supplies","S004", B590="Epsilon_Group","S005")</f>
        <v>S002</v>
      </c>
      <c r="N590" t="str" cm="1">
        <f t="array" ref="N590">_xlfn.IFS(E590="Electronics","P001", E590="MRO","P002", E590="Office Supplies","P003", E590="Packaging","P004", E590="Raw Materials","P005")</f>
        <v>P002</v>
      </c>
    </row>
    <row r="591" spans="1:14" x14ac:dyDescent="0.2">
      <c r="A591" s="4" t="s">
        <v>605</v>
      </c>
      <c r="B591" s="5" t="s">
        <v>12</v>
      </c>
      <c r="C591" s="6">
        <v>44712</v>
      </c>
      <c r="D591" s="6">
        <v>44719</v>
      </c>
      <c r="E591" s="5" t="s">
        <v>13</v>
      </c>
      <c r="F591" s="5" t="s">
        <v>22</v>
      </c>
      <c r="G591" s="5">
        <v>1131</v>
      </c>
      <c r="H591" s="5">
        <v>97.43</v>
      </c>
      <c r="I591" s="5">
        <v>91.28</v>
      </c>
      <c r="J591" s="5">
        <v>103</v>
      </c>
      <c r="K591" s="5" t="s">
        <v>4</v>
      </c>
      <c r="L591" s="5" t="str">
        <f t="shared" si="9"/>
        <v>Partially Delivered</v>
      </c>
      <c r="M591" t="str" cm="1">
        <f t="array" ref="M591">_xlfn.IFS(B591="Alpha_Inc","S001", B591="Delta_Logistics","S002", B591="Gamma_Co","S003", B591="Beta_Supplies","S004", B591="Epsilon_Group","S005")</f>
        <v>S004</v>
      </c>
      <c r="N591" t="str" cm="1">
        <f t="array" ref="N591">_xlfn.IFS(E591="Electronics","P001", E591="MRO","P002", E591="Office Supplies","P003", E591="Packaging","P004", E591="Raw Materials","P005")</f>
        <v>P004</v>
      </c>
    </row>
    <row r="592" spans="1:14" x14ac:dyDescent="0.2">
      <c r="A592" s="1" t="s">
        <v>606</v>
      </c>
      <c r="B592" s="2" t="s">
        <v>18</v>
      </c>
      <c r="C592" s="3">
        <v>44587</v>
      </c>
      <c r="D592" s="3">
        <v>44595</v>
      </c>
      <c r="E592" s="2" t="s">
        <v>15</v>
      </c>
      <c r="F592" s="2" t="s">
        <v>3</v>
      </c>
      <c r="G592" s="2">
        <v>1419</v>
      </c>
      <c r="H592" s="2">
        <v>50.14</v>
      </c>
      <c r="I592" s="2">
        <v>43.46</v>
      </c>
      <c r="J592" s="2">
        <v>0</v>
      </c>
      <c r="K592" s="2" t="s">
        <v>4</v>
      </c>
      <c r="L592" s="2" t="str">
        <f t="shared" si="9"/>
        <v>Cancelled</v>
      </c>
      <c r="M592" t="str" cm="1">
        <f t="array" ref="M592">_xlfn.IFS(B592="Alpha_Inc","S001", B592="Delta_Logistics","S002", B592="Gamma_Co","S003", B592="Beta_Supplies","S004", B592="Epsilon_Group","S005")</f>
        <v>S005</v>
      </c>
      <c r="N592" t="str" cm="1">
        <f t="array" ref="N592">_xlfn.IFS(E592="Electronics","P001", E592="MRO","P002", E592="Office Supplies","P003", E592="Packaging","P004", E592="Raw Materials","P005")</f>
        <v>P005</v>
      </c>
    </row>
    <row r="593" spans="1:14" x14ac:dyDescent="0.2">
      <c r="A593" s="4" t="s">
        <v>607</v>
      </c>
      <c r="B593" s="5" t="s">
        <v>6</v>
      </c>
      <c r="C593" s="6">
        <v>44609</v>
      </c>
      <c r="D593" s="6">
        <v>44610</v>
      </c>
      <c r="E593" s="5" t="s">
        <v>15</v>
      </c>
      <c r="F593" s="5" t="s">
        <v>24</v>
      </c>
      <c r="G593" s="5">
        <v>790</v>
      </c>
      <c r="H593" s="5">
        <v>26.8</v>
      </c>
      <c r="I593" s="5">
        <v>25.62</v>
      </c>
      <c r="J593" s="5">
        <v>115</v>
      </c>
      <c r="K593" s="5" t="s">
        <v>4</v>
      </c>
      <c r="L593" s="5" t="str">
        <f t="shared" si="9"/>
        <v>Pending</v>
      </c>
      <c r="M593" t="str" cm="1">
        <f t="array" ref="M593">_xlfn.IFS(B593="Alpha_Inc","S001", B593="Delta_Logistics","S002", B593="Gamma_Co","S003", B593="Beta_Supplies","S004", B593="Epsilon_Group","S005")</f>
        <v>S002</v>
      </c>
      <c r="N593" t="str" cm="1">
        <f t="array" ref="N593">_xlfn.IFS(E593="Electronics","P001", E593="MRO","P002", E593="Office Supplies","P003", E593="Packaging","P004", E593="Raw Materials","P005")</f>
        <v>P005</v>
      </c>
    </row>
    <row r="594" spans="1:14" x14ac:dyDescent="0.2">
      <c r="A594" s="1" t="s">
        <v>608</v>
      </c>
      <c r="B594" s="2" t="s">
        <v>9</v>
      </c>
      <c r="C594" s="3">
        <v>44812</v>
      </c>
      <c r="D594" s="3">
        <v>44831</v>
      </c>
      <c r="E594" s="2" t="s">
        <v>10</v>
      </c>
      <c r="F594" s="2" t="s">
        <v>24</v>
      </c>
      <c r="G594" s="2">
        <v>1547</v>
      </c>
      <c r="H594" s="2">
        <v>61.12</v>
      </c>
      <c r="I594" s="2">
        <v>53.43</v>
      </c>
      <c r="J594" s="2">
        <v>77</v>
      </c>
      <c r="K594" s="2" t="s">
        <v>4</v>
      </c>
      <c r="L594" s="2" t="str">
        <f t="shared" si="9"/>
        <v>Pending</v>
      </c>
      <c r="M594" t="str" cm="1">
        <f t="array" ref="M594">_xlfn.IFS(B594="Alpha_Inc","S001", B594="Delta_Logistics","S002", B594="Gamma_Co","S003", B594="Beta_Supplies","S004", B594="Epsilon_Group","S005")</f>
        <v>S003</v>
      </c>
      <c r="N594" t="str" cm="1">
        <f t="array" ref="N594">_xlfn.IFS(E594="Electronics","P001", E594="MRO","P002", E594="Office Supplies","P003", E594="Packaging","P004", E594="Raw Materials","P005")</f>
        <v>P002</v>
      </c>
    </row>
    <row r="595" spans="1:14" x14ac:dyDescent="0.2">
      <c r="A595" s="4" t="s">
        <v>609</v>
      </c>
      <c r="B595" s="5" t="s">
        <v>6</v>
      </c>
      <c r="C595" s="6">
        <v>45048</v>
      </c>
      <c r="D595" s="6">
        <v>45066</v>
      </c>
      <c r="E595" s="5" t="s">
        <v>2</v>
      </c>
      <c r="F595" s="5" t="s">
        <v>3</v>
      </c>
      <c r="G595" s="5">
        <v>166</v>
      </c>
      <c r="H595" s="5">
        <v>95.65</v>
      </c>
      <c r="I595" s="5">
        <v>94.48</v>
      </c>
      <c r="J595" s="5">
        <v>23</v>
      </c>
      <c r="K595" s="5" t="s">
        <v>4</v>
      </c>
      <c r="L595" s="5" t="str">
        <f t="shared" si="9"/>
        <v>Cancelled</v>
      </c>
      <c r="M595" t="str" cm="1">
        <f t="array" ref="M595">_xlfn.IFS(B595="Alpha_Inc","S001", B595="Delta_Logistics","S002", B595="Gamma_Co","S003", B595="Beta_Supplies","S004", B595="Epsilon_Group","S005")</f>
        <v>S002</v>
      </c>
      <c r="N595" t="str" cm="1">
        <f t="array" ref="N595">_xlfn.IFS(E595="Electronics","P001", E595="MRO","P002", E595="Office Supplies","P003", E595="Packaging","P004", E595="Raw Materials","P005")</f>
        <v>P003</v>
      </c>
    </row>
    <row r="596" spans="1:14" x14ac:dyDescent="0.2">
      <c r="A596" s="1" t="s">
        <v>610</v>
      </c>
      <c r="B596" s="2" t="s">
        <v>1</v>
      </c>
      <c r="C596" s="3">
        <v>45187</v>
      </c>
      <c r="D596" s="3">
        <v>45190</v>
      </c>
      <c r="E596" s="2" t="s">
        <v>28</v>
      </c>
      <c r="F596" s="2" t="s">
        <v>7</v>
      </c>
      <c r="G596" s="2">
        <v>1903</v>
      </c>
      <c r="H596" s="2">
        <v>83.49</v>
      </c>
      <c r="I596" s="2">
        <v>82.33</v>
      </c>
      <c r="J596" s="2">
        <v>43</v>
      </c>
      <c r="K596" s="2" t="s">
        <v>4</v>
      </c>
      <c r="L596" s="2" t="str">
        <f t="shared" si="9"/>
        <v>Delivered</v>
      </c>
      <c r="M596" t="str" cm="1">
        <f t="array" ref="M596">_xlfn.IFS(B596="Alpha_Inc","S001", B596="Delta_Logistics","S002", B596="Gamma_Co","S003", B596="Beta_Supplies","S004", B596="Epsilon_Group","S005")</f>
        <v>S001</v>
      </c>
      <c r="N596" t="str" cm="1">
        <f t="array" ref="N596">_xlfn.IFS(E596="Electronics","P001", E596="MRO","P002", E596="Office Supplies","P003", E596="Packaging","P004", E596="Raw Materials","P005")</f>
        <v>P001</v>
      </c>
    </row>
    <row r="597" spans="1:14" x14ac:dyDescent="0.2">
      <c r="A597" s="4" t="s">
        <v>611</v>
      </c>
      <c r="B597" s="5" t="s">
        <v>6</v>
      </c>
      <c r="C597" s="6">
        <v>44636</v>
      </c>
      <c r="D597" s="6">
        <v>44649</v>
      </c>
      <c r="E597" s="5" t="s">
        <v>2</v>
      </c>
      <c r="F597" s="5" t="s">
        <v>22</v>
      </c>
      <c r="G597" s="5">
        <v>840</v>
      </c>
      <c r="H597" s="5">
        <v>83.42</v>
      </c>
      <c r="I597" s="5">
        <v>80.349999999999994</v>
      </c>
      <c r="J597" s="5">
        <v>153</v>
      </c>
      <c r="K597" s="5" t="s">
        <v>4</v>
      </c>
      <c r="L597" s="5" t="str">
        <f t="shared" si="9"/>
        <v>Partially Delivered</v>
      </c>
      <c r="M597" t="str" cm="1">
        <f t="array" ref="M597">_xlfn.IFS(B597="Alpha_Inc","S001", B597="Delta_Logistics","S002", B597="Gamma_Co","S003", B597="Beta_Supplies","S004", B597="Epsilon_Group","S005")</f>
        <v>S002</v>
      </c>
      <c r="N597" t="str" cm="1">
        <f t="array" ref="N597">_xlfn.IFS(E597="Electronics","P001", E597="MRO","P002", E597="Office Supplies","P003", E597="Packaging","P004", E597="Raw Materials","P005")</f>
        <v>P003</v>
      </c>
    </row>
    <row r="598" spans="1:14" x14ac:dyDescent="0.2">
      <c r="A598" s="1" t="s">
        <v>612</v>
      </c>
      <c r="B598" s="2" t="s">
        <v>6</v>
      </c>
      <c r="C598" s="3">
        <v>45028</v>
      </c>
      <c r="D598" s="3">
        <f>Table1[[#This Row],[Order_Date]]+14</f>
        <v>45042</v>
      </c>
      <c r="E598" s="2" t="s">
        <v>10</v>
      </c>
      <c r="F598" s="2" t="s">
        <v>7</v>
      </c>
      <c r="G598" s="2">
        <v>1200</v>
      </c>
      <c r="H598" s="2">
        <v>74.489999999999995</v>
      </c>
      <c r="I598" s="2">
        <v>64.63</v>
      </c>
      <c r="J598" s="2">
        <v>161</v>
      </c>
      <c r="K598" s="2" t="s">
        <v>4</v>
      </c>
      <c r="L598" s="2" t="str">
        <f t="shared" si="9"/>
        <v>Delivered</v>
      </c>
      <c r="M598" t="str" cm="1">
        <f t="array" ref="M598">_xlfn.IFS(B598="Alpha_Inc","S001", B598="Delta_Logistics","S002", B598="Gamma_Co","S003", B598="Beta_Supplies","S004", B598="Epsilon_Group","S005")</f>
        <v>S002</v>
      </c>
      <c r="N598" t="str" cm="1">
        <f t="array" ref="N598">_xlfn.IFS(E598="Electronics","P001", E598="MRO","P002", E598="Office Supplies","P003", E598="Packaging","P004", E598="Raw Materials","P005")</f>
        <v>P002</v>
      </c>
    </row>
    <row r="599" spans="1:14" x14ac:dyDescent="0.2">
      <c r="A599" s="4" t="s">
        <v>613</v>
      </c>
      <c r="B599" s="5" t="s">
        <v>9</v>
      </c>
      <c r="C599" s="6">
        <v>44986</v>
      </c>
      <c r="D599" s="6">
        <v>45003</v>
      </c>
      <c r="E599" s="5" t="s">
        <v>15</v>
      </c>
      <c r="F599" s="5" t="s">
        <v>7</v>
      </c>
      <c r="G599" s="5">
        <v>1466</v>
      </c>
      <c r="H599" s="5">
        <v>77.37</v>
      </c>
      <c r="I599" s="5">
        <v>70.349999999999994</v>
      </c>
      <c r="J599" s="5">
        <v>72</v>
      </c>
      <c r="K599" s="5" t="s">
        <v>4</v>
      </c>
      <c r="L599" s="5" t="str">
        <f t="shared" si="9"/>
        <v>Delivered</v>
      </c>
      <c r="M599" t="str" cm="1">
        <f t="array" ref="M599">_xlfn.IFS(B599="Alpha_Inc","S001", B599="Delta_Logistics","S002", B599="Gamma_Co","S003", B599="Beta_Supplies","S004", B599="Epsilon_Group","S005")</f>
        <v>S003</v>
      </c>
      <c r="N599" t="str" cm="1">
        <f t="array" ref="N599">_xlfn.IFS(E599="Electronics","P001", E599="MRO","P002", E599="Office Supplies","P003", E599="Packaging","P004", E599="Raw Materials","P005")</f>
        <v>P005</v>
      </c>
    </row>
    <row r="600" spans="1:14" x14ac:dyDescent="0.2">
      <c r="A600" s="1" t="s">
        <v>614</v>
      </c>
      <c r="B600" s="2" t="s">
        <v>1</v>
      </c>
      <c r="C600" s="3">
        <v>45206</v>
      </c>
      <c r="D600" s="3">
        <v>45220</v>
      </c>
      <c r="E600" s="2" t="s">
        <v>2</v>
      </c>
      <c r="F600" s="2" t="s">
        <v>7</v>
      </c>
      <c r="G600" s="2">
        <v>1981</v>
      </c>
      <c r="H600" s="2">
        <v>95.5</v>
      </c>
      <c r="I600" s="2">
        <v>94.39</v>
      </c>
      <c r="J600" s="2">
        <v>49</v>
      </c>
      <c r="K600" s="2" t="s">
        <v>4</v>
      </c>
      <c r="L600" s="2" t="str">
        <f t="shared" si="9"/>
        <v>Delivered</v>
      </c>
      <c r="M600" t="str" cm="1">
        <f t="array" ref="M600">_xlfn.IFS(B600="Alpha_Inc","S001", B600="Delta_Logistics","S002", B600="Gamma_Co","S003", B600="Beta_Supplies","S004", B600="Epsilon_Group","S005")</f>
        <v>S001</v>
      </c>
      <c r="N600" t="str" cm="1">
        <f t="array" ref="N600">_xlfn.IFS(E600="Electronics","P001", E600="MRO","P002", E600="Office Supplies","P003", E600="Packaging","P004", E600="Raw Materials","P005")</f>
        <v>P003</v>
      </c>
    </row>
    <row r="601" spans="1:14" x14ac:dyDescent="0.2">
      <c r="A601" s="4" t="s">
        <v>615</v>
      </c>
      <c r="B601" s="5" t="s">
        <v>9</v>
      </c>
      <c r="C601" s="6">
        <v>45151</v>
      </c>
      <c r="D601" s="6">
        <v>45154</v>
      </c>
      <c r="E601" s="5" t="s">
        <v>13</v>
      </c>
      <c r="F601" s="5" t="s">
        <v>7</v>
      </c>
      <c r="G601" s="5">
        <v>1062</v>
      </c>
      <c r="H601" s="5">
        <v>35.549999999999997</v>
      </c>
      <c r="I601" s="5">
        <v>32.380000000000003</v>
      </c>
      <c r="J601" s="5">
        <v>0</v>
      </c>
      <c r="K601" s="5" t="s">
        <v>4</v>
      </c>
      <c r="L601" s="5" t="str">
        <f t="shared" si="9"/>
        <v>Delivered</v>
      </c>
      <c r="M601" t="str" cm="1">
        <f t="array" ref="M601">_xlfn.IFS(B601="Alpha_Inc","S001", B601="Delta_Logistics","S002", B601="Gamma_Co","S003", B601="Beta_Supplies","S004", B601="Epsilon_Group","S005")</f>
        <v>S003</v>
      </c>
      <c r="N601" t="str" cm="1">
        <f t="array" ref="N601">_xlfn.IFS(E601="Electronics","P001", E601="MRO","P002", E601="Office Supplies","P003", E601="Packaging","P004", E601="Raw Materials","P005")</f>
        <v>P004</v>
      </c>
    </row>
    <row r="602" spans="1:14" x14ac:dyDescent="0.2">
      <c r="A602" s="1" t="s">
        <v>616</v>
      </c>
      <c r="B602" s="2" t="s">
        <v>1</v>
      </c>
      <c r="C602" s="3">
        <v>44761</v>
      </c>
      <c r="D602" s="3">
        <v>44772</v>
      </c>
      <c r="E602" s="2" t="s">
        <v>10</v>
      </c>
      <c r="F602" s="2" t="s">
        <v>7</v>
      </c>
      <c r="G602" s="2">
        <v>1714</v>
      </c>
      <c r="H602" s="2">
        <v>55.67</v>
      </c>
      <c r="I602" s="2">
        <v>55.09</v>
      </c>
      <c r="J602" s="2">
        <v>42</v>
      </c>
      <c r="K602" s="2" t="s">
        <v>4</v>
      </c>
      <c r="L602" s="2" t="str">
        <f t="shared" si="9"/>
        <v>Delivered</v>
      </c>
      <c r="M602" t="str" cm="1">
        <f t="array" ref="M602">_xlfn.IFS(B602="Alpha_Inc","S001", B602="Delta_Logistics","S002", B602="Gamma_Co","S003", B602="Beta_Supplies","S004", B602="Epsilon_Group","S005")</f>
        <v>S001</v>
      </c>
      <c r="N602" t="str" cm="1">
        <f t="array" ref="N602">_xlfn.IFS(E602="Electronics","P001", E602="MRO","P002", E602="Office Supplies","P003", E602="Packaging","P004", E602="Raw Materials","P005")</f>
        <v>P002</v>
      </c>
    </row>
    <row r="603" spans="1:14" x14ac:dyDescent="0.2">
      <c r="A603" s="4" t="s">
        <v>617</v>
      </c>
      <c r="B603" s="5" t="s">
        <v>1</v>
      </c>
      <c r="C603" s="6">
        <v>45275</v>
      </c>
      <c r="D603" s="6">
        <v>45290</v>
      </c>
      <c r="E603" s="5" t="s">
        <v>2</v>
      </c>
      <c r="F603" s="5" t="s">
        <v>7</v>
      </c>
      <c r="G603" s="5">
        <v>1131</v>
      </c>
      <c r="H603" s="5">
        <v>33.35</v>
      </c>
      <c r="I603" s="5">
        <v>31.28</v>
      </c>
      <c r="J603" s="5">
        <v>23</v>
      </c>
      <c r="K603" s="5" t="s">
        <v>4</v>
      </c>
      <c r="L603" s="5" t="str">
        <f t="shared" si="9"/>
        <v>Delivered</v>
      </c>
      <c r="M603" t="str" cm="1">
        <f t="array" ref="M603">_xlfn.IFS(B603="Alpha_Inc","S001", B603="Delta_Logistics","S002", B603="Gamma_Co","S003", B603="Beta_Supplies","S004", B603="Epsilon_Group","S005")</f>
        <v>S001</v>
      </c>
      <c r="N603" t="str" cm="1">
        <f t="array" ref="N603">_xlfn.IFS(E603="Electronics","P001", E603="MRO","P002", E603="Office Supplies","P003", E603="Packaging","P004", E603="Raw Materials","P005")</f>
        <v>P003</v>
      </c>
    </row>
    <row r="604" spans="1:14" x14ac:dyDescent="0.2">
      <c r="A604" s="1" t="s">
        <v>618</v>
      </c>
      <c r="B604" s="2" t="s">
        <v>1</v>
      </c>
      <c r="C604" s="3">
        <v>44955</v>
      </c>
      <c r="D604" s="3">
        <v>44972</v>
      </c>
      <c r="E604" s="2" t="s">
        <v>2</v>
      </c>
      <c r="F604" s="2" t="s">
        <v>7</v>
      </c>
      <c r="G604" s="2">
        <v>683</v>
      </c>
      <c r="H604" s="2">
        <v>104.82</v>
      </c>
      <c r="I604" s="2">
        <v>101.34</v>
      </c>
      <c r="J604" s="2">
        <v>0</v>
      </c>
      <c r="K604" s="2" t="s">
        <v>4</v>
      </c>
      <c r="L604" s="2" t="str">
        <f t="shared" si="9"/>
        <v>Delivered</v>
      </c>
      <c r="M604" t="str" cm="1">
        <f t="array" ref="M604">_xlfn.IFS(B604="Alpha_Inc","S001", B604="Delta_Logistics","S002", B604="Gamma_Co","S003", B604="Beta_Supplies","S004", B604="Epsilon_Group","S005")</f>
        <v>S001</v>
      </c>
      <c r="N604" t="str" cm="1">
        <f t="array" ref="N604">_xlfn.IFS(E604="Electronics","P001", E604="MRO","P002", E604="Office Supplies","P003", E604="Packaging","P004", E604="Raw Materials","P005")</f>
        <v>P003</v>
      </c>
    </row>
    <row r="605" spans="1:14" x14ac:dyDescent="0.2">
      <c r="A605" s="4" t="s">
        <v>619</v>
      </c>
      <c r="B605" s="5" t="s">
        <v>9</v>
      </c>
      <c r="C605" s="6">
        <v>45068</v>
      </c>
      <c r="D605" s="6">
        <v>45086</v>
      </c>
      <c r="E605" s="5" t="s">
        <v>13</v>
      </c>
      <c r="F605" s="5" t="s">
        <v>22</v>
      </c>
      <c r="G605" s="5">
        <v>562</v>
      </c>
      <c r="H605" s="5">
        <v>102.56</v>
      </c>
      <c r="I605" s="5">
        <v>90.88</v>
      </c>
      <c r="J605" s="5">
        <v>38</v>
      </c>
      <c r="K605" s="5" t="s">
        <v>4</v>
      </c>
      <c r="L605" s="5" t="str">
        <f t="shared" si="9"/>
        <v>Partially Delivered</v>
      </c>
      <c r="M605" t="str" cm="1">
        <f t="array" ref="M605">_xlfn.IFS(B605="Alpha_Inc","S001", B605="Delta_Logistics","S002", B605="Gamma_Co","S003", B605="Beta_Supplies","S004", B605="Epsilon_Group","S005")</f>
        <v>S003</v>
      </c>
      <c r="N605" t="str" cm="1">
        <f t="array" ref="N605">_xlfn.IFS(E605="Electronics","P001", E605="MRO","P002", E605="Office Supplies","P003", E605="Packaging","P004", E605="Raw Materials","P005")</f>
        <v>P004</v>
      </c>
    </row>
    <row r="606" spans="1:14" x14ac:dyDescent="0.2">
      <c r="A606" s="1" t="s">
        <v>620</v>
      </c>
      <c r="B606" s="2" t="s">
        <v>1</v>
      </c>
      <c r="C606" s="3">
        <v>44971</v>
      </c>
      <c r="D606" s="3">
        <v>44977</v>
      </c>
      <c r="E606" s="2" t="s">
        <v>28</v>
      </c>
      <c r="F606" s="2" t="s">
        <v>7</v>
      </c>
      <c r="G606" s="2">
        <v>1824</v>
      </c>
      <c r="H606" s="2">
        <v>14.43</v>
      </c>
      <c r="I606" s="2">
        <v>14.11</v>
      </c>
      <c r="J606" s="2">
        <v>36</v>
      </c>
      <c r="K606" s="2" t="s">
        <v>4</v>
      </c>
      <c r="L606" s="2" t="str">
        <f t="shared" si="9"/>
        <v>Delivered</v>
      </c>
      <c r="M606" t="str" cm="1">
        <f t="array" ref="M606">_xlfn.IFS(B606="Alpha_Inc","S001", B606="Delta_Logistics","S002", B606="Gamma_Co","S003", B606="Beta_Supplies","S004", B606="Epsilon_Group","S005")</f>
        <v>S001</v>
      </c>
      <c r="N606" t="str" cm="1">
        <f t="array" ref="N606">_xlfn.IFS(E606="Electronics","P001", E606="MRO","P002", E606="Office Supplies","P003", E606="Packaging","P004", E606="Raw Materials","P005")</f>
        <v>P001</v>
      </c>
    </row>
    <row r="607" spans="1:14" x14ac:dyDescent="0.2">
      <c r="A607" s="4" t="s">
        <v>621</v>
      </c>
      <c r="B607" s="5" t="s">
        <v>12</v>
      </c>
      <c r="C607" s="6">
        <v>44811</v>
      </c>
      <c r="D607" s="6">
        <v>44816</v>
      </c>
      <c r="E607" s="5" t="s">
        <v>28</v>
      </c>
      <c r="F607" s="5" t="s">
        <v>22</v>
      </c>
      <c r="G607" s="5">
        <v>851</v>
      </c>
      <c r="H607" s="5">
        <v>76.44</v>
      </c>
      <c r="I607" s="5">
        <v>74.760000000000005</v>
      </c>
      <c r="J607" s="5">
        <v>91</v>
      </c>
      <c r="K607" s="5" t="s">
        <v>4</v>
      </c>
      <c r="L607" s="5" t="str">
        <f t="shared" si="9"/>
        <v>Partially Delivered</v>
      </c>
      <c r="M607" t="str" cm="1">
        <f t="array" ref="M607">_xlfn.IFS(B607="Alpha_Inc","S001", B607="Delta_Logistics","S002", B607="Gamma_Co","S003", B607="Beta_Supplies","S004", B607="Epsilon_Group","S005")</f>
        <v>S004</v>
      </c>
      <c r="N607" t="str" cm="1">
        <f t="array" ref="N607">_xlfn.IFS(E607="Electronics","P001", E607="MRO","P002", E607="Office Supplies","P003", E607="Packaging","P004", E607="Raw Materials","P005")</f>
        <v>P001</v>
      </c>
    </row>
    <row r="608" spans="1:14" x14ac:dyDescent="0.2">
      <c r="A608" s="1" t="s">
        <v>622</v>
      </c>
      <c r="B608" s="2" t="s">
        <v>12</v>
      </c>
      <c r="C608" s="3">
        <v>44713</v>
      </c>
      <c r="D608" s="3">
        <v>44715</v>
      </c>
      <c r="E608" s="2" t="s">
        <v>2</v>
      </c>
      <c r="F608" s="2" t="s">
        <v>7</v>
      </c>
      <c r="G608" s="2">
        <v>1169</v>
      </c>
      <c r="H608" s="2">
        <v>95.6</v>
      </c>
      <c r="I608" s="2">
        <v>82.16</v>
      </c>
      <c r="J608" s="2">
        <v>103</v>
      </c>
      <c r="K608" s="2" t="s">
        <v>4</v>
      </c>
      <c r="L608" s="2" t="str">
        <f t="shared" si="9"/>
        <v>Delivered</v>
      </c>
      <c r="M608" t="str" cm="1">
        <f t="array" ref="M608">_xlfn.IFS(B608="Alpha_Inc","S001", B608="Delta_Logistics","S002", B608="Gamma_Co","S003", B608="Beta_Supplies","S004", B608="Epsilon_Group","S005")</f>
        <v>S004</v>
      </c>
      <c r="N608" t="str" cm="1">
        <f t="array" ref="N608">_xlfn.IFS(E608="Electronics","P001", E608="MRO","P002", E608="Office Supplies","P003", E608="Packaging","P004", E608="Raw Materials","P005")</f>
        <v>P003</v>
      </c>
    </row>
    <row r="609" spans="1:14" x14ac:dyDescent="0.2">
      <c r="A609" s="4" t="s">
        <v>623</v>
      </c>
      <c r="B609" s="5" t="s">
        <v>18</v>
      </c>
      <c r="C609" s="6">
        <v>45233</v>
      </c>
      <c r="D609" s="6">
        <v>45250</v>
      </c>
      <c r="E609" s="5" t="s">
        <v>10</v>
      </c>
      <c r="F609" s="5" t="s">
        <v>7</v>
      </c>
      <c r="G609" s="5">
        <v>1711</v>
      </c>
      <c r="H609" s="5">
        <v>29.14</v>
      </c>
      <c r="I609" s="5">
        <v>26.35</v>
      </c>
      <c r="J609" s="5">
        <v>48</v>
      </c>
      <c r="K609" s="5" t="s">
        <v>4</v>
      </c>
      <c r="L609" s="5" t="str">
        <f t="shared" si="9"/>
        <v>Delivered</v>
      </c>
      <c r="M609" t="str" cm="1">
        <f t="array" ref="M609">_xlfn.IFS(B609="Alpha_Inc","S001", B609="Delta_Logistics","S002", B609="Gamma_Co","S003", B609="Beta_Supplies","S004", B609="Epsilon_Group","S005")</f>
        <v>S005</v>
      </c>
      <c r="N609" t="str" cm="1">
        <f t="array" ref="N609">_xlfn.IFS(E609="Electronics","P001", E609="MRO","P002", E609="Office Supplies","P003", E609="Packaging","P004", E609="Raw Materials","P005")</f>
        <v>P002</v>
      </c>
    </row>
    <row r="610" spans="1:14" x14ac:dyDescent="0.2">
      <c r="A610" s="1" t="s">
        <v>624</v>
      </c>
      <c r="B610" s="2" t="s">
        <v>12</v>
      </c>
      <c r="C610" s="3">
        <v>45266</v>
      </c>
      <c r="D610" s="3">
        <v>45272</v>
      </c>
      <c r="E610" s="2" t="s">
        <v>13</v>
      </c>
      <c r="F610" s="2" t="s">
        <v>24</v>
      </c>
      <c r="G610" s="2">
        <v>1191</v>
      </c>
      <c r="H610" s="2">
        <v>68.14</v>
      </c>
      <c r="I610" s="2">
        <v>61.71</v>
      </c>
      <c r="J610" s="2">
        <v>112</v>
      </c>
      <c r="K610" s="2" t="s">
        <v>4</v>
      </c>
      <c r="L610" s="2" t="str">
        <f t="shared" si="9"/>
        <v>Pending</v>
      </c>
      <c r="M610" t="str" cm="1">
        <f t="array" ref="M610">_xlfn.IFS(B610="Alpha_Inc","S001", B610="Delta_Logistics","S002", B610="Gamma_Co","S003", B610="Beta_Supplies","S004", B610="Epsilon_Group","S005")</f>
        <v>S004</v>
      </c>
      <c r="N610" t="str" cm="1">
        <f t="array" ref="N610">_xlfn.IFS(E610="Electronics","P001", E610="MRO","P002", E610="Office Supplies","P003", E610="Packaging","P004", E610="Raw Materials","P005")</f>
        <v>P004</v>
      </c>
    </row>
    <row r="611" spans="1:14" x14ac:dyDescent="0.2">
      <c r="A611" s="4" t="s">
        <v>625</v>
      </c>
      <c r="B611" s="5" t="s">
        <v>18</v>
      </c>
      <c r="C611" s="6">
        <v>44567</v>
      </c>
      <c r="D611" s="6">
        <v>44575</v>
      </c>
      <c r="E611" s="5" t="s">
        <v>28</v>
      </c>
      <c r="F611" s="5" t="s">
        <v>7</v>
      </c>
      <c r="G611" s="5">
        <v>609</v>
      </c>
      <c r="H611" s="5">
        <v>92.39</v>
      </c>
      <c r="I611" s="5">
        <v>82.75</v>
      </c>
      <c r="J611" s="5">
        <v>29</v>
      </c>
      <c r="K611" s="5" t="s">
        <v>4</v>
      </c>
      <c r="L611" s="5" t="str">
        <f t="shared" si="9"/>
        <v>Delivered</v>
      </c>
      <c r="M611" t="str" cm="1">
        <f t="array" ref="M611">_xlfn.IFS(B611="Alpha_Inc","S001", B611="Delta_Logistics","S002", B611="Gamma_Co","S003", B611="Beta_Supplies","S004", B611="Epsilon_Group","S005")</f>
        <v>S005</v>
      </c>
      <c r="N611" t="str" cm="1">
        <f t="array" ref="N611">_xlfn.IFS(E611="Electronics","P001", E611="MRO","P002", E611="Office Supplies","P003", E611="Packaging","P004", E611="Raw Materials","P005")</f>
        <v>P001</v>
      </c>
    </row>
    <row r="612" spans="1:14" x14ac:dyDescent="0.2">
      <c r="A612" s="1" t="s">
        <v>626</v>
      </c>
      <c r="B612" s="2" t="s">
        <v>12</v>
      </c>
      <c r="C612" s="3">
        <v>44671</v>
      </c>
      <c r="D612" s="3">
        <v>44688</v>
      </c>
      <c r="E612" s="2" t="s">
        <v>2</v>
      </c>
      <c r="F612" s="2" t="s">
        <v>7</v>
      </c>
      <c r="G612" s="2">
        <v>1674</v>
      </c>
      <c r="H612" s="2">
        <v>13.25</v>
      </c>
      <c r="I612" s="2">
        <v>11.77</v>
      </c>
      <c r="J612" s="2">
        <v>181</v>
      </c>
      <c r="K612" s="2" t="s">
        <v>4</v>
      </c>
      <c r="L612" s="2" t="str">
        <f t="shared" si="9"/>
        <v>Delivered</v>
      </c>
      <c r="M612" t="str" cm="1">
        <f t="array" ref="M612">_xlfn.IFS(B612="Alpha_Inc","S001", B612="Delta_Logistics","S002", B612="Gamma_Co","S003", B612="Beta_Supplies","S004", B612="Epsilon_Group","S005")</f>
        <v>S004</v>
      </c>
      <c r="N612" t="str" cm="1">
        <f t="array" ref="N612">_xlfn.IFS(E612="Electronics","P001", E612="MRO","P002", E612="Office Supplies","P003", E612="Packaging","P004", E612="Raw Materials","P005")</f>
        <v>P003</v>
      </c>
    </row>
    <row r="613" spans="1:14" x14ac:dyDescent="0.2">
      <c r="A613" s="4" t="s">
        <v>627</v>
      </c>
      <c r="B613" s="5" t="s">
        <v>9</v>
      </c>
      <c r="C613" s="6">
        <v>44997</v>
      </c>
      <c r="D613" s="6">
        <v>45000</v>
      </c>
      <c r="E613" s="5" t="s">
        <v>10</v>
      </c>
      <c r="F613" s="5" t="s">
        <v>7</v>
      </c>
      <c r="G613" s="5">
        <v>537</v>
      </c>
      <c r="H613" s="5">
        <v>77.86</v>
      </c>
      <c r="I613" s="5">
        <v>71.180000000000007</v>
      </c>
      <c r="J613" s="5">
        <v>20</v>
      </c>
      <c r="K613" s="5" t="s">
        <v>4</v>
      </c>
      <c r="L613" s="5" t="str">
        <f t="shared" si="9"/>
        <v>Delivered</v>
      </c>
      <c r="M613" t="str" cm="1">
        <f t="array" ref="M613">_xlfn.IFS(B613="Alpha_Inc","S001", B613="Delta_Logistics","S002", B613="Gamma_Co","S003", B613="Beta_Supplies","S004", B613="Epsilon_Group","S005")</f>
        <v>S003</v>
      </c>
      <c r="N613" t="str" cm="1">
        <f t="array" ref="N613">_xlfn.IFS(E613="Electronics","P001", E613="MRO","P002", E613="Office Supplies","P003", E613="Packaging","P004", E613="Raw Materials","P005")</f>
        <v>P002</v>
      </c>
    </row>
    <row r="614" spans="1:14" x14ac:dyDescent="0.2">
      <c r="A614" s="1" t="s">
        <v>628</v>
      </c>
      <c r="B614" s="2" t="s">
        <v>18</v>
      </c>
      <c r="C614" s="3">
        <v>44786</v>
      </c>
      <c r="D614" s="3">
        <v>44804</v>
      </c>
      <c r="E614" s="2" t="s">
        <v>28</v>
      </c>
      <c r="F614" s="2" t="s">
        <v>7</v>
      </c>
      <c r="G614" s="2">
        <v>1310</v>
      </c>
      <c r="H614" s="2">
        <v>38.049999999999997</v>
      </c>
      <c r="I614" s="2">
        <v>37</v>
      </c>
      <c r="J614" s="2">
        <v>45</v>
      </c>
      <c r="K614" s="2" t="s">
        <v>4</v>
      </c>
      <c r="L614" s="2" t="str">
        <f t="shared" si="9"/>
        <v>Delivered</v>
      </c>
      <c r="M614" t="str" cm="1">
        <f t="array" ref="M614">_xlfn.IFS(B614="Alpha_Inc","S001", B614="Delta_Logistics","S002", B614="Gamma_Co","S003", B614="Beta_Supplies","S004", B614="Epsilon_Group","S005")</f>
        <v>S005</v>
      </c>
      <c r="N614" t="str" cm="1">
        <f t="array" ref="N614">_xlfn.IFS(E614="Electronics","P001", E614="MRO","P002", E614="Office Supplies","P003", E614="Packaging","P004", E614="Raw Materials","P005")</f>
        <v>P001</v>
      </c>
    </row>
    <row r="615" spans="1:14" x14ac:dyDescent="0.2">
      <c r="A615" s="4" t="s">
        <v>629</v>
      </c>
      <c r="B615" s="5" t="s">
        <v>6</v>
      </c>
      <c r="C615" s="6">
        <v>44742</v>
      </c>
      <c r="D615" s="6">
        <v>44752</v>
      </c>
      <c r="E615" s="5" t="s">
        <v>15</v>
      </c>
      <c r="F615" s="5" t="s">
        <v>7</v>
      </c>
      <c r="G615" s="5">
        <v>1958</v>
      </c>
      <c r="H615" s="5">
        <v>95.53</v>
      </c>
      <c r="I615" s="5">
        <v>91.72</v>
      </c>
      <c r="J615" s="5">
        <v>308</v>
      </c>
      <c r="K615" s="5" t="s">
        <v>4</v>
      </c>
      <c r="L615" s="5" t="str">
        <f t="shared" si="9"/>
        <v>Delivered</v>
      </c>
      <c r="M615" t="str" cm="1">
        <f t="array" ref="M615">_xlfn.IFS(B615="Alpha_Inc","S001", B615="Delta_Logistics","S002", B615="Gamma_Co","S003", B615="Beta_Supplies","S004", B615="Epsilon_Group","S005")</f>
        <v>S002</v>
      </c>
      <c r="N615" t="str" cm="1">
        <f t="array" ref="N615">_xlfn.IFS(E615="Electronics","P001", E615="MRO","P002", E615="Office Supplies","P003", E615="Packaging","P004", E615="Raw Materials","P005")</f>
        <v>P005</v>
      </c>
    </row>
    <row r="616" spans="1:14" x14ac:dyDescent="0.2">
      <c r="A616" s="1" t="s">
        <v>630</v>
      </c>
      <c r="B616" s="2" t="s">
        <v>6</v>
      </c>
      <c r="C616" s="3">
        <v>45274</v>
      </c>
      <c r="D616" s="3">
        <v>45277</v>
      </c>
      <c r="E616" s="2" t="s">
        <v>2</v>
      </c>
      <c r="F616" s="2" t="s">
        <v>7</v>
      </c>
      <c r="G616" s="2">
        <v>946</v>
      </c>
      <c r="H616" s="2">
        <v>108.6</v>
      </c>
      <c r="I616" s="2">
        <v>101.78</v>
      </c>
      <c r="J616" s="2">
        <v>146</v>
      </c>
      <c r="K616" s="2" t="s">
        <v>4</v>
      </c>
      <c r="L616" s="2" t="str">
        <f t="shared" si="9"/>
        <v>Delivered</v>
      </c>
      <c r="M616" t="str" cm="1">
        <f t="array" ref="M616">_xlfn.IFS(B616="Alpha_Inc","S001", B616="Delta_Logistics","S002", B616="Gamma_Co","S003", B616="Beta_Supplies","S004", B616="Epsilon_Group","S005")</f>
        <v>S002</v>
      </c>
      <c r="N616" t="str" cm="1">
        <f t="array" ref="N616">_xlfn.IFS(E616="Electronics","P001", E616="MRO","P002", E616="Office Supplies","P003", E616="Packaging","P004", E616="Raw Materials","P005")</f>
        <v>P003</v>
      </c>
    </row>
    <row r="617" spans="1:14" x14ac:dyDescent="0.2">
      <c r="A617" s="4" t="s">
        <v>631</v>
      </c>
      <c r="B617" s="5" t="s">
        <v>12</v>
      </c>
      <c r="C617" s="6">
        <v>45092</v>
      </c>
      <c r="D617" s="6">
        <v>45098</v>
      </c>
      <c r="E617" s="5" t="s">
        <v>13</v>
      </c>
      <c r="F617" s="5" t="s">
        <v>22</v>
      </c>
      <c r="G617" s="5">
        <v>1345</v>
      </c>
      <c r="H617" s="5">
        <v>103.06</v>
      </c>
      <c r="I617" s="5">
        <v>95.14</v>
      </c>
      <c r="J617" s="5">
        <v>0</v>
      </c>
      <c r="K617" s="5" t="s">
        <v>4</v>
      </c>
      <c r="L617" s="5" t="str">
        <f t="shared" si="9"/>
        <v>Partially Delivered</v>
      </c>
      <c r="M617" t="str" cm="1">
        <f t="array" ref="M617">_xlfn.IFS(B617="Alpha_Inc","S001", B617="Delta_Logistics","S002", B617="Gamma_Co","S003", B617="Beta_Supplies","S004", B617="Epsilon_Group","S005")</f>
        <v>S004</v>
      </c>
      <c r="N617" t="str" cm="1">
        <f t="array" ref="N617">_xlfn.IFS(E617="Electronics","P001", E617="MRO","P002", E617="Office Supplies","P003", E617="Packaging","P004", E617="Raw Materials","P005")</f>
        <v>P004</v>
      </c>
    </row>
    <row r="618" spans="1:14" x14ac:dyDescent="0.2">
      <c r="A618" s="1" t="s">
        <v>632</v>
      </c>
      <c r="B618" s="2" t="s">
        <v>6</v>
      </c>
      <c r="C618" s="3">
        <v>45037</v>
      </c>
      <c r="D618" s="3">
        <v>45056</v>
      </c>
      <c r="E618" s="2" t="s">
        <v>10</v>
      </c>
      <c r="F618" s="2" t="s">
        <v>7</v>
      </c>
      <c r="G618" s="2">
        <v>1262</v>
      </c>
      <c r="H618" s="2">
        <v>56.63</v>
      </c>
      <c r="I618" s="2">
        <v>51.46</v>
      </c>
      <c r="J618" s="2">
        <v>0</v>
      </c>
      <c r="K618" s="2" t="s">
        <v>16</v>
      </c>
      <c r="L618" s="2" t="str">
        <f t="shared" si="9"/>
        <v>Delivered</v>
      </c>
      <c r="M618" t="str" cm="1">
        <f t="array" ref="M618">_xlfn.IFS(B618="Alpha_Inc","S001", B618="Delta_Logistics","S002", B618="Gamma_Co","S003", B618="Beta_Supplies","S004", B618="Epsilon_Group","S005")</f>
        <v>S002</v>
      </c>
      <c r="N618" t="str" cm="1">
        <f t="array" ref="N618">_xlfn.IFS(E618="Electronics","P001", E618="MRO","P002", E618="Office Supplies","P003", E618="Packaging","P004", E618="Raw Materials","P005")</f>
        <v>P002</v>
      </c>
    </row>
    <row r="619" spans="1:14" x14ac:dyDescent="0.2">
      <c r="A619" s="4" t="s">
        <v>633</v>
      </c>
      <c r="B619" s="5" t="s">
        <v>12</v>
      </c>
      <c r="C619" s="6">
        <v>44613</v>
      </c>
      <c r="D619" s="6">
        <v>44633</v>
      </c>
      <c r="E619" s="5" t="s">
        <v>2</v>
      </c>
      <c r="F619" s="5" t="s">
        <v>24</v>
      </c>
      <c r="G619" s="5">
        <v>753</v>
      </c>
      <c r="H619" s="5">
        <v>88.02</v>
      </c>
      <c r="I619" s="5">
        <v>79.92</v>
      </c>
      <c r="J619" s="5">
        <v>75</v>
      </c>
      <c r="K619" s="5" t="s">
        <v>4</v>
      </c>
      <c r="L619" s="5" t="str">
        <f t="shared" si="9"/>
        <v>Pending</v>
      </c>
      <c r="M619" t="str" cm="1">
        <f t="array" ref="M619">_xlfn.IFS(B619="Alpha_Inc","S001", B619="Delta_Logistics","S002", B619="Gamma_Co","S003", B619="Beta_Supplies","S004", B619="Epsilon_Group","S005")</f>
        <v>S004</v>
      </c>
      <c r="N619" t="str" cm="1">
        <f t="array" ref="N619">_xlfn.IFS(E619="Electronics","P001", E619="MRO","P002", E619="Office Supplies","P003", E619="Packaging","P004", E619="Raw Materials","P005")</f>
        <v>P003</v>
      </c>
    </row>
    <row r="620" spans="1:14" x14ac:dyDescent="0.2">
      <c r="A620" s="1" t="s">
        <v>634</v>
      </c>
      <c r="B620" s="2" t="s">
        <v>12</v>
      </c>
      <c r="C620" s="3">
        <v>45132</v>
      </c>
      <c r="D620" s="3">
        <v>45152</v>
      </c>
      <c r="E620" s="2" t="s">
        <v>28</v>
      </c>
      <c r="F620" s="2" t="s">
        <v>7</v>
      </c>
      <c r="G620" s="2">
        <v>1520</v>
      </c>
      <c r="H620" s="2">
        <v>93.75</v>
      </c>
      <c r="I620" s="2">
        <v>81.63</v>
      </c>
      <c r="J620" s="2">
        <v>149</v>
      </c>
      <c r="K620" s="2" t="s">
        <v>4</v>
      </c>
      <c r="L620" s="2" t="str">
        <f t="shared" si="9"/>
        <v>Delivered</v>
      </c>
      <c r="M620" t="str" cm="1">
        <f t="array" ref="M620">_xlfn.IFS(B620="Alpha_Inc","S001", B620="Delta_Logistics","S002", B620="Gamma_Co","S003", B620="Beta_Supplies","S004", B620="Epsilon_Group","S005")</f>
        <v>S004</v>
      </c>
      <c r="N620" t="str" cm="1">
        <f t="array" ref="N620">_xlfn.IFS(E620="Electronics","P001", E620="MRO","P002", E620="Office Supplies","P003", E620="Packaging","P004", E620="Raw Materials","P005")</f>
        <v>P001</v>
      </c>
    </row>
    <row r="621" spans="1:14" x14ac:dyDescent="0.2">
      <c r="A621" s="4" t="s">
        <v>635</v>
      </c>
      <c r="B621" s="5" t="s">
        <v>6</v>
      </c>
      <c r="C621" s="6">
        <v>44817</v>
      </c>
      <c r="D621" s="6">
        <v>44836</v>
      </c>
      <c r="E621" s="5" t="s">
        <v>2</v>
      </c>
      <c r="F621" s="5" t="s">
        <v>7</v>
      </c>
      <c r="G621" s="5">
        <v>630</v>
      </c>
      <c r="H621" s="5">
        <v>40.270000000000003</v>
      </c>
      <c r="I621" s="5">
        <v>37.54</v>
      </c>
      <c r="J621" s="5">
        <v>76</v>
      </c>
      <c r="K621" s="5" t="s">
        <v>4</v>
      </c>
      <c r="L621" s="5" t="str">
        <f t="shared" si="9"/>
        <v>Delivered</v>
      </c>
      <c r="M621" t="str" cm="1">
        <f t="array" ref="M621">_xlfn.IFS(B621="Alpha_Inc","S001", B621="Delta_Logistics","S002", B621="Gamma_Co","S003", B621="Beta_Supplies","S004", B621="Epsilon_Group","S005")</f>
        <v>S002</v>
      </c>
      <c r="N621" t="str" cm="1">
        <f t="array" ref="N621">_xlfn.IFS(E621="Electronics","P001", E621="MRO","P002", E621="Office Supplies","P003", E621="Packaging","P004", E621="Raw Materials","P005")</f>
        <v>P003</v>
      </c>
    </row>
    <row r="622" spans="1:14" x14ac:dyDescent="0.2">
      <c r="A622" s="1" t="s">
        <v>636</v>
      </c>
      <c r="B622" s="2" t="s">
        <v>6</v>
      </c>
      <c r="C622" s="3">
        <v>44686</v>
      </c>
      <c r="D622" s="3">
        <v>44687</v>
      </c>
      <c r="E622" s="2" t="s">
        <v>2</v>
      </c>
      <c r="F622" s="2" t="s">
        <v>7</v>
      </c>
      <c r="G622" s="2">
        <v>839</v>
      </c>
      <c r="H622" s="2">
        <v>86.29</v>
      </c>
      <c r="I622" s="2">
        <v>82.51</v>
      </c>
      <c r="J622" s="2">
        <v>110</v>
      </c>
      <c r="K622" s="2" t="s">
        <v>4</v>
      </c>
      <c r="L622" s="2" t="str">
        <f t="shared" si="9"/>
        <v>Delivered</v>
      </c>
      <c r="M622" t="str" cm="1">
        <f t="array" ref="M622">_xlfn.IFS(B622="Alpha_Inc","S001", B622="Delta_Logistics","S002", B622="Gamma_Co","S003", B622="Beta_Supplies","S004", B622="Epsilon_Group","S005")</f>
        <v>S002</v>
      </c>
      <c r="N622" t="str" cm="1">
        <f t="array" ref="N622">_xlfn.IFS(E622="Electronics","P001", E622="MRO","P002", E622="Office Supplies","P003", E622="Packaging","P004", E622="Raw Materials","P005")</f>
        <v>P003</v>
      </c>
    </row>
    <row r="623" spans="1:14" x14ac:dyDescent="0.2">
      <c r="A623" s="4" t="s">
        <v>637</v>
      </c>
      <c r="B623" s="5" t="s">
        <v>1</v>
      </c>
      <c r="C623" s="6">
        <v>45029</v>
      </c>
      <c r="D623" s="6">
        <v>45048</v>
      </c>
      <c r="E623" s="5" t="s">
        <v>28</v>
      </c>
      <c r="F623" s="5" t="s">
        <v>7</v>
      </c>
      <c r="G623" s="5">
        <v>910</v>
      </c>
      <c r="H623" s="5">
        <v>14.33</v>
      </c>
      <c r="I623" s="5">
        <v>14.07</v>
      </c>
      <c r="J623" s="5">
        <v>27</v>
      </c>
      <c r="K623" s="5" t="s">
        <v>4</v>
      </c>
      <c r="L623" s="5" t="str">
        <f t="shared" si="9"/>
        <v>Delivered</v>
      </c>
      <c r="M623" t="str" cm="1">
        <f t="array" ref="M623">_xlfn.IFS(B623="Alpha_Inc","S001", B623="Delta_Logistics","S002", B623="Gamma_Co","S003", B623="Beta_Supplies","S004", B623="Epsilon_Group","S005")</f>
        <v>S001</v>
      </c>
      <c r="N623" t="str" cm="1">
        <f t="array" ref="N623">_xlfn.IFS(E623="Electronics","P001", E623="MRO","P002", E623="Office Supplies","P003", E623="Packaging","P004", E623="Raw Materials","P005")</f>
        <v>P001</v>
      </c>
    </row>
    <row r="624" spans="1:14" x14ac:dyDescent="0.2">
      <c r="A624" s="1" t="s">
        <v>638</v>
      </c>
      <c r="B624" s="2" t="s">
        <v>18</v>
      </c>
      <c r="C624" s="3">
        <v>44698</v>
      </c>
      <c r="D624" s="3">
        <v>44705</v>
      </c>
      <c r="E624" s="2" t="s">
        <v>15</v>
      </c>
      <c r="F624" s="2" t="s">
        <v>7</v>
      </c>
      <c r="G624" s="2">
        <v>296</v>
      </c>
      <c r="H624" s="2">
        <v>64.94</v>
      </c>
      <c r="I624" s="2">
        <v>63.61</v>
      </c>
      <c r="J624" s="2">
        <v>0</v>
      </c>
      <c r="K624" s="2" t="s">
        <v>4</v>
      </c>
      <c r="L624" s="2" t="str">
        <f t="shared" si="9"/>
        <v>Delivered</v>
      </c>
      <c r="M624" t="str" cm="1">
        <f t="array" ref="M624">_xlfn.IFS(B624="Alpha_Inc","S001", B624="Delta_Logistics","S002", B624="Gamma_Co","S003", B624="Beta_Supplies","S004", B624="Epsilon_Group","S005")</f>
        <v>S005</v>
      </c>
      <c r="N624" t="str" cm="1">
        <f t="array" ref="N624">_xlfn.IFS(E624="Electronics","P001", E624="MRO","P002", E624="Office Supplies","P003", E624="Packaging","P004", E624="Raw Materials","P005")</f>
        <v>P005</v>
      </c>
    </row>
    <row r="625" spans="1:14" x14ac:dyDescent="0.2">
      <c r="A625" s="4" t="s">
        <v>639</v>
      </c>
      <c r="B625" s="5" t="s">
        <v>12</v>
      </c>
      <c r="C625" s="6">
        <v>45037</v>
      </c>
      <c r="D625" s="6">
        <v>45051</v>
      </c>
      <c r="E625" s="5" t="s">
        <v>10</v>
      </c>
      <c r="F625" s="5" t="s">
        <v>7</v>
      </c>
      <c r="G625" s="5">
        <v>1149</v>
      </c>
      <c r="H625" s="5">
        <v>33</v>
      </c>
      <c r="I625" s="5">
        <v>30.65</v>
      </c>
      <c r="J625" s="5">
        <v>141</v>
      </c>
      <c r="K625" s="5" t="s">
        <v>4</v>
      </c>
      <c r="L625" s="5" t="str">
        <f t="shared" si="9"/>
        <v>Delivered</v>
      </c>
      <c r="M625" t="str" cm="1">
        <f t="array" ref="M625">_xlfn.IFS(B625="Alpha_Inc","S001", B625="Delta_Logistics","S002", B625="Gamma_Co","S003", B625="Beta_Supplies","S004", B625="Epsilon_Group","S005")</f>
        <v>S004</v>
      </c>
      <c r="N625" t="str" cm="1">
        <f t="array" ref="N625">_xlfn.IFS(E625="Electronics","P001", E625="MRO","P002", E625="Office Supplies","P003", E625="Packaging","P004", E625="Raw Materials","P005")</f>
        <v>P002</v>
      </c>
    </row>
    <row r="626" spans="1:14" x14ac:dyDescent="0.2">
      <c r="A626" s="1" t="s">
        <v>640</v>
      </c>
      <c r="B626" s="2" t="s">
        <v>6</v>
      </c>
      <c r="C626" s="3">
        <v>45245</v>
      </c>
      <c r="D626" s="3">
        <v>45246</v>
      </c>
      <c r="E626" s="2" t="s">
        <v>28</v>
      </c>
      <c r="F626" s="2" t="s">
        <v>7</v>
      </c>
      <c r="G626" s="2">
        <v>203</v>
      </c>
      <c r="H626" s="2">
        <v>23.14</v>
      </c>
      <c r="I626" s="2">
        <v>20</v>
      </c>
      <c r="J626" s="2">
        <v>0</v>
      </c>
      <c r="K626" s="2" t="s">
        <v>16</v>
      </c>
      <c r="L626" s="2" t="str">
        <f t="shared" si="9"/>
        <v>Delivered</v>
      </c>
      <c r="M626" t="str" cm="1">
        <f t="array" ref="M626">_xlfn.IFS(B626="Alpha_Inc","S001", B626="Delta_Logistics","S002", B626="Gamma_Co","S003", B626="Beta_Supplies","S004", B626="Epsilon_Group","S005")</f>
        <v>S002</v>
      </c>
      <c r="N626" t="str" cm="1">
        <f t="array" ref="N626">_xlfn.IFS(E626="Electronics","P001", E626="MRO","P002", E626="Office Supplies","P003", E626="Packaging","P004", E626="Raw Materials","P005")</f>
        <v>P001</v>
      </c>
    </row>
    <row r="627" spans="1:14" x14ac:dyDescent="0.2">
      <c r="A627" s="4" t="s">
        <v>641</v>
      </c>
      <c r="B627" s="5" t="s">
        <v>18</v>
      </c>
      <c r="C627" s="6">
        <v>45105</v>
      </c>
      <c r="D627" s="6">
        <v>45123</v>
      </c>
      <c r="E627" s="5" t="s">
        <v>2</v>
      </c>
      <c r="F627" s="5" t="s">
        <v>7</v>
      </c>
      <c r="G627" s="5">
        <v>1729</v>
      </c>
      <c r="H627" s="5">
        <v>18.36</v>
      </c>
      <c r="I627" s="5">
        <v>16.34</v>
      </c>
      <c r="J627" s="5">
        <v>47</v>
      </c>
      <c r="K627" s="5" t="s">
        <v>4</v>
      </c>
      <c r="L627" s="5" t="str">
        <f t="shared" si="9"/>
        <v>Delivered</v>
      </c>
      <c r="M627" t="str" cm="1">
        <f t="array" ref="M627">_xlfn.IFS(B627="Alpha_Inc","S001", B627="Delta_Logistics","S002", B627="Gamma_Co","S003", B627="Beta_Supplies","S004", B627="Epsilon_Group","S005")</f>
        <v>S005</v>
      </c>
      <c r="N627" t="str" cm="1">
        <f t="array" ref="N627">_xlfn.IFS(E627="Electronics","P001", E627="MRO","P002", E627="Office Supplies","P003", E627="Packaging","P004", E627="Raw Materials","P005")</f>
        <v>P003</v>
      </c>
    </row>
    <row r="628" spans="1:14" x14ac:dyDescent="0.2">
      <c r="A628" s="1" t="s">
        <v>642</v>
      </c>
      <c r="B628" s="2" t="s">
        <v>6</v>
      </c>
      <c r="C628" s="3">
        <v>45134</v>
      </c>
      <c r="D628" s="3">
        <v>45144</v>
      </c>
      <c r="E628" s="2" t="s">
        <v>2</v>
      </c>
      <c r="F628" s="2" t="s">
        <v>7</v>
      </c>
      <c r="G628" s="2">
        <v>1508</v>
      </c>
      <c r="H628" s="2">
        <v>79.209999999999994</v>
      </c>
      <c r="I628" s="2">
        <v>73.27</v>
      </c>
      <c r="J628" s="2">
        <v>226</v>
      </c>
      <c r="K628" s="2" t="s">
        <v>4</v>
      </c>
      <c r="L628" s="2" t="str">
        <f t="shared" si="9"/>
        <v>Delivered</v>
      </c>
      <c r="M628" t="str" cm="1">
        <f t="array" ref="M628">_xlfn.IFS(B628="Alpha_Inc","S001", B628="Delta_Logistics","S002", B628="Gamma_Co","S003", B628="Beta_Supplies","S004", B628="Epsilon_Group","S005")</f>
        <v>S002</v>
      </c>
      <c r="N628" t="str" cm="1">
        <f t="array" ref="N628">_xlfn.IFS(E628="Electronics","P001", E628="MRO","P002", E628="Office Supplies","P003", E628="Packaging","P004", E628="Raw Materials","P005")</f>
        <v>P003</v>
      </c>
    </row>
    <row r="629" spans="1:14" x14ac:dyDescent="0.2">
      <c r="A629" s="4" t="s">
        <v>643</v>
      </c>
      <c r="B629" s="5" t="s">
        <v>6</v>
      </c>
      <c r="C629" s="6">
        <v>45171</v>
      </c>
      <c r="D629" s="6">
        <v>45184</v>
      </c>
      <c r="E629" s="5" t="s">
        <v>13</v>
      </c>
      <c r="F629" s="5" t="s">
        <v>22</v>
      </c>
      <c r="G629" s="5">
        <v>1046</v>
      </c>
      <c r="H629" s="5">
        <v>44.65</v>
      </c>
      <c r="I629" s="5">
        <v>40.1</v>
      </c>
      <c r="J629" s="5">
        <v>165</v>
      </c>
      <c r="K629" s="5" t="s">
        <v>16</v>
      </c>
      <c r="L629" s="5" t="str">
        <f t="shared" si="9"/>
        <v>Partially Delivered</v>
      </c>
      <c r="M629" t="str" cm="1">
        <f t="array" ref="M629">_xlfn.IFS(B629="Alpha_Inc","S001", B629="Delta_Logistics","S002", B629="Gamma_Co","S003", B629="Beta_Supplies","S004", B629="Epsilon_Group","S005")</f>
        <v>S002</v>
      </c>
      <c r="N629" t="str" cm="1">
        <f t="array" ref="N629">_xlfn.IFS(E629="Electronics","P001", E629="MRO","P002", E629="Office Supplies","P003", E629="Packaging","P004", E629="Raw Materials","P005")</f>
        <v>P004</v>
      </c>
    </row>
    <row r="630" spans="1:14" x14ac:dyDescent="0.2">
      <c r="A630" s="1" t="s">
        <v>644</v>
      </c>
      <c r="B630" s="2" t="s">
        <v>1</v>
      </c>
      <c r="C630" s="3">
        <v>44886</v>
      </c>
      <c r="D630" s="3">
        <v>44889</v>
      </c>
      <c r="E630" s="2" t="s">
        <v>2</v>
      </c>
      <c r="F630" s="2" t="s">
        <v>7</v>
      </c>
      <c r="G630" s="2">
        <v>1159</v>
      </c>
      <c r="H630" s="2">
        <v>78.989999999999995</v>
      </c>
      <c r="I630" s="2">
        <v>71.69</v>
      </c>
      <c r="J630" s="2">
        <v>14</v>
      </c>
      <c r="K630" s="2" t="s">
        <v>4</v>
      </c>
      <c r="L630" s="2" t="str">
        <f t="shared" si="9"/>
        <v>Delivered</v>
      </c>
      <c r="M630" t="str" cm="1">
        <f t="array" ref="M630">_xlfn.IFS(B630="Alpha_Inc","S001", B630="Delta_Logistics","S002", B630="Gamma_Co","S003", B630="Beta_Supplies","S004", B630="Epsilon_Group","S005")</f>
        <v>S001</v>
      </c>
      <c r="N630" t="str" cm="1">
        <f t="array" ref="N630">_xlfn.IFS(E630="Electronics","P001", E630="MRO","P002", E630="Office Supplies","P003", E630="Packaging","P004", E630="Raw Materials","P005")</f>
        <v>P003</v>
      </c>
    </row>
    <row r="631" spans="1:14" x14ac:dyDescent="0.2">
      <c r="A631" s="4" t="s">
        <v>645</v>
      </c>
      <c r="B631" s="5" t="s">
        <v>12</v>
      </c>
      <c r="C631" s="6">
        <v>45015</v>
      </c>
      <c r="D631" s="6">
        <v>45021</v>
      </c>
      <c r="E631" s="5" t="s">
        <v>28</v>
      </c>
      <c r="F631" s="5" t="s">
        <v>7</v>
      </c>
      <c r="G631" s="5">
        <v>746</v>
      </c>
      <c r="H631" s="5">
        <v>16.989999999999998</v>
      </c>
      <c r="I631" s="5">
        <v>15.35</v>
      </c>
      <c r="J631" s="5">
        <v>69</v>
      </c>
      <c r="K631" s="5" t="s">
        <v>16</v>
      </c>
      <c r="L631" s="5" t="str">
        <f t="shared" si="9"/>
        <v>Delivered</v>
      </c>
      <c r="M631" t="str" cm="1">
        <f t="array" ref="M631">_xlfn.IFS(B631="Alpha_Inc","S001", B631="Delta_Logistics","S002", B631="Gamma_Co","S003", B631="Beta_Supplies","S004", B631="Epsilon_Group","S005")</f>
        <v>S004</v>
      </c>
      <c r="N631" t="str" cm="1">
        <f t="array" ref="N631">_xlfn.IFS(E631="Electronics","P001", E631="MRO","P002", E631="Office Supplies","P003", E631="Packaging","P004", E631="Raw Materials","P005")</f>
        <v>P001</v>
      </c>
    </row>
    <row r="632" spans="1:14" x14ac:dyDescent="0.2">
      <c r="A632" s="1" t="s">
        <v>646</v>
      </c>
      <c r="B632" s="2" t="s">
        <v>12</v>
      </c>
      <c r="C632" s="3">
        <v>45189</v>
      </c>
      <c r="D632" s="3">
        <v>45205</v>
      </c>
      <c r="E632" s="2" t="s">
        <v>13</v>
      </c>
      <c r="F632" s="2" t="s">
        <v>7</v>
      </c>
      <c r="G632" s="2">
        <v>1358</v>
      </c>
      <c r="H632" s="2">
        <v>42.21</v>
      </c>
      <c r="I632" s="2">
        <v>38.75</v>
      </c>
      <c r="J632" s="2">
        <v>128</v>
      </c>
      <c r="K632" s="2" t="s">
        <v>4</v>
      </c>
      <c r="L632" s="2" t="str">
        <f t="shared" si="9"/>
        <v>Delivered</v>
      </c>
      <c r="M632" t="str" cm="1">
        <f t="array" ref="M632">_xlfn.IFS(B632="Alpha_Inc","S001", B632="Delta_Logistics","S002", B632="Gamma_Co","S003", B632="Beta_Supplies","S004", B632="Epsilon_Group","S005")</f>
        <v>S004</v>
      </c>
      <c r="N632" t="str" cm="1">
        <f t="array" ref="N632">_xlfn.IFS(E632="Electronics","P001", E632="MRO","P002", E632="Office Supplies","P003", E632="Packaging","P004", E632="Raw Materials","P005")</f>
        <v>P004</v>
      </c>
    </row>
    <row r="633" spans="1:14" x14ac:dyDescent="0.2">
      <c r="A633" s="4" t="s">
        <v>647</v>
      </c>
      <c r="B633" s="5" t="s">
        <v>9</v>
      </c>
      <c r="C633" s="6">
        <v>45078</v>
      </c>
      <c r="D633" s="6">
        <v>45089</v>
      </c>
      <c r="E633" s="5" t="s">
        <v>2</v>
      </c>
      <c r="F633" s="5" t="s">
        <v>7</v>
      </c>
      <c r="G633" s="5">
        <v>1293</v>
      </c>
      <c r="H633" s="5">
        <v>63.53</v>
      </c>
      <c r="I633" s="5">
        <v>59.42</v>
      </c>
      <c r="J633" s="5">
        <v>79</v>
      </c>
      <c r="K633" s="5" t="s">
        <v>4</v>
      </c>
      <c r="L633" s="5" t="str">
        <f t="shared" si="9"/>
        <v>Delivered</v>
      </c>
      <c r="M633" t="str" cm="1">
        <f t="array" ref="M633">_xlfn.IFS(B633="Alpha_Inc","S001", B633="Delta_Logistics","S002", B633="Gamma_Co","S003", B633="Beta_Supplies","S004", B633="Epsilon_Group","S005")</f>
        <v>S003</v>
      </c>
      <c r="N633" t="str" cm="1">
        <f t="array" ref="N633">_xlfn.IFS(E633="Electronics","P001", E633="MRO","P002", E633="Office Supplies","P003", E633="Packaging","P004", E633="Raw Materials","P005")</f>
        <v>P003</v>
      </c>
    </row>
    <row r="634" spans="1:14" x14ac:dyDescent="0.2">
      <c r="A634" s="1" t="s">
        <v>648</v>
      </c>
      <c r="B634" s="2" t="s">
        <v>1</v>
      </c>
      <c r="C634" s="3">
        <v>44998</v>
      </c>
      <c r="D634" s="3">
        <v>45009</v>
      </c>
      <c r="E634" s="2" t="s">
        <v>28</v>
      </c>
      <c r="F634" s="2" t="s">
        <v>7</v>
      </c>
      <c r="G634" s="2">
        <v>1142</v>
      </c>
      <c r="H634" s="2">
        <v>86.85</v>
      </c>
      <c r="I634" s="2">
        <v>74.28</v>
      </c>
      <c r="J634" s="2">
        <v>30</v>
      </c>
      <c r="K634" s="2" t="s">
        <v>4</v>
      </c>
      <c r="L634" s="2" t="str">
        <f t="shared" si="9"/>
        <v>Delivered</v>
      </c>
      <c r="M634" t="str" cm="1">
        <f t="array" ref="M634">_xlfn.IFS(B634="Alpha_Inc","S001", B634="Delta_Logistics","S002", B634="Gamma_Co","S003", B634="Beta_Supplies","S004", B634="Epsilon_Group","S005")</f>
        <v>S001</v>
      </c>
      <c r="N634" t="str" cm="1">
        <f t="array" ref="N634">_xlfn.IFS(E634="Electronics","P001", E634="MRO","P002", E634="Office Supplies","P003", E634="Packaging","P004", E634="Raw Materials","P005")</f>
        <v>P001</v>
      </c>
    </row>
    <row r="635" spans="1:14" x14ac:dyDescent="0.2">
      <c r="A635" s="4" t="s">
        <v>649</v>
      </c>
      <c r="B635" s="5" t="s">
        <v>18</v>
      </c>
      <c r="C635" s="6">
        <v>45123</v>
      </c>
      <c r="D635" s="6">
        <v>45134</v>
      </c>
      <c r="E635" s="5" t="s">
        <v>10</v>
      </c>
      <c r="F635" s="5" t="s">
        <v>7</v>
      </c>
      <c r="G635" s="5">
        <v>1120</v>
      </c>
      <c r="H635" s="5">
        <v>42.17</v>
      </c>
      <c r="I635" s="5">
        <v>37.47</v>
      </c>
      <c r="J635" s="5">
        <v>33</v>
      </c>
      <c r="K635" s="5" t="s">
        <v>4</v>
      </c>
      <c r="L635" s="5" t="str">
        <f t="shared" si="9"/>
        <v>Delivered</v>
      </c>
      <c r="M635" t="str" cm="1">
        <f t="array" ref="M635">_xlfn.IFS(B635="Alpha_Inc","S001", B635="Delta_Logistics","S002", B635="Gamma_Co","S003", B635="Beta_Supplies","S004", B635="Epsilon_Group","S005")</f>
        <v>S005</v>
      </c>
      <c r="N635" t="str" cm="1">
        <f t="array" ref="N635">_xlfn.IFS(E635="Electronics","P001", E635="MRO","P002", E635="Office Supplies","P003", E635="Packaging","P004", E635="Raw Materials","P005")</f>
        <v>P002</v>
      </c>
    </row>
    <row r="636" spans="1:14" x14ac:dyDescent="0.2">
      <c r="A636" s="1" t="s">
        <v>650</v>
      </c>
      <c r="B636" s="2" t="s">
        <v>1</v>
      </c>
      <c r="C636" s="3">
        <v>45018</v>
      </c>
      <c r="D636" s="3">
        <v>45030</v>
      </c>
      <c r="E636" s="2" t="s">
        <v>10</v>
      </c>
      <c r="F636" s="2" t="s">
        <v>7</v>
      </c>
      <c r="G636" s="2">
        <v>1058</v>
      </c>
      <c r="H636" s="2">
        <v>71.3</v>
      </c>
      <c r="I636" s="2">
        <v>62.04</v>
      </c>
      <c r="J636" s="2">
        <v>0</v>
      </c>
      <c r="K636" s="2" t="s">
        <v>4</v>
      </c>
      <c r="L636" s="2" t="str">
        <f t="shared" si="9"/>
        <v>Delivered</v>
      </c>
      <c r="M636" t="str" cm="1">
        <f t="array" ref="M636">_xlfn.IFS(B636="Alpha_Inc","S001", B636="Delta_Logistics","S002", B636="Gamma_Co","S003", B636="Beta_Supplies","S004", B636="Epsilon_Group","S005")</f>
        <v>S001</v>
      </c>
      <c r="N636" t="str" cm="1">
        <f t="array" ref="N636">_xlfn.IFS(E636="Electronics","P001", E636="MRO","P002", E636="Office Supplies","P003", E636="Packaging","P004", E636="Raw Materials","P005")</f>
        <v>P002</v>
      </c>
    </row>
    <row r="637" spans="1:14" x14ac:dyDescent="0.2">
      <c r="A637" s="4" t="s">
        <v>651</v>
      </c>
      <c r="B637" s="5" t="s">
        <v>18</v>
      </c>
      <c r="C637" s="6">
        <v>44724</v>
      </c>
      <c r="D637" s="6">
        <f>Table1[[#This Row],[Order_Date]]+14</f>
        <v>44738</v>
      </c>
      <c r="E637" s="5" t="s">
        <v>2</v>
      </c>
      <c r="F637" s="5" t="s">
        <v>7</v>
      </c>
      <c r="G637" s="5">
        <v>143</v>
      </c>
      <c r="H637" s="5">
        <v>91.98</v>
      </c>
      <c r="I637" s="5">
        <v>86.02</v>
      </c>
      <c r="J637" s="5">
        <v>5</v>
      </c>
      <c r="K637" s="5" t="s">
        <v>4</v>
      </c>
      <c r="L637" s="5" t="str">
        <f t="shared" si="9"/>
        <v>Delivered</v>
      </c>
      <c r="M637" t="str" cm="1">
        <f t="array" ref="M637">_xlfn.IFS(B637="Alpha_Inc","S001", B637="Delta_Logistics","S002", B637="Gamma_Co","S003", B637="Beta_Supplies","S004", B637="Epsilon_Group","S005")</f>
        <v>S005</v>
      </c>
      <c r="N637" t="str" cm="1">
        <f t="array" ref="N637">_xlfn.IFS(E637="Electronics","P001", E637="MRO","P002", E637="Office Supplies","P003", E637="Packaging","P004", E637="Raw Materials","P005")</f>
        <v>P003</v>
      </c>
    </row>
    <row r="638" spans="1:14" x14ac:dyDescent="0.2">
      <c r="A638" s="1" t="s">
        <v>652</v>
      </c>
      <c r="B638" s="2" t="s">
        <v>12</v>
      </c>
      <c r="C638" s="3">
        <v>45048</v>
      </c>
      <c r="D638" s="3">
        <v>45060</v>
      </c>
      <c r="E638" s="2" t="s">
        <v>10</v>
      </c>
      <c r="F638" s="2" t="s">
        <v>7</v>
      </c>
      <c r="G638" s="2">
        <v>1823</v>
      </c>
      <c r="H638" s="2">
        <v>70.66</v>
      </c>
      <c r="I638" s="2">
        <v>66.92</v>
      </c>
      <c r="J638" s="2">
        <v>202</v>
      </c>
      <c r="K638" s="2" t="s">
        <v>4</v>
      </c>
      <c r="L638" s="2" t="str">
        <f t="shared" si="9"/>
        <v>Delivered</v>
      </c>
      <c r="M638" t="str" cm="1">
        <f t="array" ref="M638">_xlfn.IFS(B638="Alpha_Inc","S001", B638="Delta_Logistics","S002", B638="Gamma_Co","S003", B638="Beta_Supplies","S004", B638="Epsilon_Group","S005")</f>
        <v>S004</v>
      </c>
      <c r="N638" t="str" cm="1">
        <f t="array" ref="N638">_xlfn.IFS(E638="Electronics","P001", E638="MRO","P002", E638="Office Supplies","P003", E638="Packaging","P004", E638="Raw Materials","P005")</f>
        <v>P002</v>
      </c>
    </row>
    <row r="639" spans="1:14" x14ac:dyDescent="0.2">
      <c r="A639" s="4" t="s">
        <v>653</v>
      </c>
      <c r="B639" s="5" t="s">
        <v>9</v>
      </c>
      <c r="C639" s="6">
        <v>45022</v>
      </c>
      <c r="D639" s="6">
        <v>45026</v>
      </c>
      <c r="E639" s="5" t="s">
        <v>2</v>
      </c>
      <c r="F639" s="5" t="s">
        <v>7</v>
      </c>
      <c r="G639" s="5">
        <v>1007</v>
      </c>
      <c r="H639" s="5">
        <v>33.29</v>
      </c>
      <c r="I639" s="5">
        <v>28.48</v>
      </c>
      <c r="J639" s="5">
        <v>49</v>
      </c>
      <c r="K639" s="5" t="s">
        <v>4</v>
      </c>
      <c r="L639" s="5" t="str">
        <f t="shared" si="9"/>
        <v>Delivered</v>
      </c>
      <c r="M639" t="str" cm="1">
        <f t="array" ref="M639">_xlfn.IFS(B639="Alpha_Inc","S001", B639="Delta_Logistics","S002", B639="Gamma_Co","S003", B639="Beta_Supplies","S004", B639="Epsilon_Group","S005")</f>
        <v>S003</v>
      </c>
      <c r="N639" t="str" cm="1">
        <f t="array" ref="N639">_xlfn.IFS(E639="Electronics","P001", E639="MRO","P002", E639="Office Supplies","P003", E639="Packaging","P004", E639="Raw Materials","P005")</f>
        <v>P003</v>
      </c>
    </row>
    <row r="640" spans="1:14" x14ac:dyDescent="0.2">
      <c r="A640" s="1" t="s">
        <v>654</v>
      </c>
      <c r="B640" s="2" t="s">
        <v>9</v>
      </c>
      <c r="C640" s="3">
        <v>44827</v>
      </c>
      <c r="D640" s="3">
        <v>44842</v>
      </c>
      <c r="E640" s="2" t="s">
        <v>13</v>
      </c>
      <c r="F640" s="2" t="s">
        <v>7</v>
      </c>
      <c r="G640" s="2">
        <v>1061</v>
      </c>
      <c r="H640" s="2">
        <v>12.68</v>
      </c>
      <c r="I640" s="2">
        <v>12.36</v>
      </c>
      <c r="J640" s="2">
        <v>56</v>
      </c>
      <c r="K640" s="2" t="s">
        <v>16</v>
      </c>
      <c r="L640" s="2" t="str">
        <f t="shared" si="9"/>
        <v>Delivered</v>
      </c>
      <c r="M640" t="str" cm="1">
        <f t="array" ref="M640">_xlfn.IFS(B640="Alpha_Inc","S001", B640="Delta_Logistics","S002", B640="Gamma_Co","S003", B640="Beta_Supplies","S004", B640="Epsilon_Group","S005")</f>
        <v>S003</v>
      </c>
      <c r="N640" t="str" cm="1">
        <f t="array" ref="N640">_xlfn.IFS(E640="Electronics","P001", E640="MRO","P002", E640="Office Supplies","P003", E640="Packaging","P004", E640="Raw Materials","P005")</f>
        <v>P004</v>
      </c>
    </row>
    <row r="641" spans="1:14" x14ac:dyDescent="0.2">
      <c r="A641" s="4" t="s">
        <v>655</v>
      </c>
      <c r="B641" s="5" t="s">
        <v>12</v>
      </c>
      <c r="C641" s="6">
        <v>44815</v>
      </c>
      <c r="D641" s="6">
        <v>44830</v>
      </c>
      <c r="E641" s="5" t="s">
        <v>10</v>
      </c>
      <c r="F641" s="5" t="s">
        <v>24</v>
      </c>
      <c r="G641" s="5">
        <v>502</v>
      </c>
      <c r="H641" s="5">
        <v>91.84</v>
      </c>
      <c r="I641" s="5">
        <v>82.33</v>
      </c>
      <c r="J641" s="5">
        <v>0</v>
      </c>
      <c r="K641" s="5" t="s">
        <v>4</v>
      </c>
      <c r="L641" s="5" t="str">
        <f t="shared" si="9"/>
        <v>Pending</v>
      </c>
      <c r="M641" t="str" cm="1">
        <f t="array" ref="M641">_xlfn.IFS(B641="Alpha_Inc","S001", B641="Delta_Logistics","S002", B641="Gamma_Co","S003", B641="Beta_Supplies","S004", B641="Epsilon_Group","S005")</f>
        <v>S004</v>
      </c>
      <c r="N641" t="str" cm="1">
        <f t="array" ref="N641">_xlfn.IFS(E641="Electronics","P001", E641="MRO","P002", E641="Office Supplies","P003", E641="Packaging","P004", E641="Raw Materials","P005")</f>
        <v>P002</v>
      </c>
    </row>
    <row r="642" spans="1:14" x14ac:dyDescent="0.2">
      <c r="A642" s="1" t="s">
        <v>656</v>
      </c>
      <c r="B642" s="2" t="s">
        <v>6</v>
      </c>
      <c r="C642" s="3">
        <v>45214</v>
      </c>
      <c r="D642" s="3">
        <v>45218</v>
      </c>
      <c r="E642" s="2" t="s">
        <v>13</v>
      </c>
      <c r="F642" s="2" t="s">
        <v>7</v>
      </c>
      <c r="G642" s="2">
        <v>1277</v>
      </c>
      <c r="H642" s="2">
        <v>13.17</v>
      </c>
      <c r="I642" s="2">
        <v>11.63</v>
      </c>
      <c r="J642" s="2">
        <v>199</v>
      </c>
      <c r="K642" s="2" t="s">
        <v>16</v>
      </c>
      <c r="L642" s="2" t="str">
        <f t="shared" ref="L642:L705" si="10">IF(F642="Delivered", IF(E642="","Date Missing","Delivered"), F642)</f>
        <v>Delivered</v>
      </c>
      <c r="M642" t="str" cm="1">
        <f t="array" ref="M642">_xlfn.IFS(B642="Alpha_Inc","S001", B642="Delta_Logistics","S002", B642="Gamma_Co","S003", B642="Beta_Supplies","S004", B642="Epsilon_Group","S005")</f>
        <v>S002</v>
      </c>
      <c r="N642" t="str" cm="1">
        <f t="array" ref="N642">_xlfn.IFS(E642="Electronics","P001", E642="MRO","P002", E642="Office Supplies","P003", E642="Packaging","P004", E642="Raw Materials","P005")</f>
        <v>P004</v>
      </c>
    </row>
    <row r="643" spans="1:14" x14ac:dyDescent="0.2">
      <c r="A643" s="4" t="s">
        <v>657</v>
      </c>
      <c r="B643" s="5" t="s">
        <v>1</v>
      </c>
      <c r="C643" s="6">
        <v>44845</v>
      </c>
      <c r="D643" s="6">
        <v>44858</v>
      </c>
      <c r="E643" s="5" t="s">
        <v>13</v>
      </c>
      <c r="F643" s="5" t="s">
        <v>7</v>
      </c>
      <c r="G643" s="5">
        <v>961</v>
      </c>
      <c r="H643" s="5">
        <v>92.72</v>
      </c>
      <c r="I643" s="5">
        <v>88.49</v>
      </c>
      <c r="J643" s="5">
        <v>22</v>
      </c>
      <c r="K643" s="5" t="s">
        <v>4</v>
      </c>
      <c r="L643" s="5" t="str">
        <f t="shared" si="10"/>
        <v>Delivered</v>
      </c>
      <c r="M643" t="str" cm="1">
        <f t="array" ref="M643">_xlfn.IFS(B643="Alpha_Inc","S001", B643="Delta_Logistics","S002", B643="Gamma_Co","S003", B643="Beta_Supplies","S004", B643="Epsilon_Group","S005")</f>
        <v>S001</v>
      </c>
      <c r="N643" t="str" cm="1">
        <f t="array" ref="N643">_xlfn.IFS(E643="Electronics","P001", E643="MRO","P002", E643="Office Supplies","P003", E643="Packaging","P004", E643="Raw Materials","P005")</f>
        <v>P004</v>
      </c>
    </row>
    <row r="644" spans="1:14" x14ac:dyDescent="0.2">
      <c r="A644" s="1" t="s">
        <v>658</v>
      </c>
      <c r="B644" s="2" t="s">
        <v>9</v>
      </c>
      <c r="C644" s="3">
        <v>45095</v>
      </c>
      <c r="D644" s="3">
        <v>45109</v>
      </c>
      <c r="E644" s="2" t="s">
        <v>13</v>
      </c>
      <c r="F644" s="2" t="s">
        <v>7</v>
      </c>
      <c r="G644" s="2">
        <v>267</v>
      </c>
      <c r="H644" s="2">
        <v>62.5</v>
      </c>
      <c r="I644" s="2">
        <v>61.18</v>
      </c>
      <c r="J644" s="2">
        <v>17</v>
      </c>
      <c r="K644" s="2" t="s">
        <v>4</v>
      </c>
      <c r="L644" s="2" t="str">
        <f t="shared" si="10"/>
        <v>Delivered</v>
      </c>
      <c r="M644" t="str" cm="1">
        <f t="array" ref="M644">_xlfn.IFS(B644="Alpha_Inc","S001", B644="Delta_Logistics","S002", B644="Gamma_Co","S003", B644="Beta_Supplies","S004", B644="Epsilon_Group","S005")</f>
        <v>S003</v>
      </c>
      <c r="N644" t="str" cm="1">
        <f t="array" ref="N644">_xlfn.IFS(E644="Electronics","P001", E644="MRO","P002", E644="Office Supplies","P003", E644="Packaging","P004", E644="Raw Materials","P005")</f>
        <v>P004</v>
      </c>
    </row>
    <row r="645" spans="1:14" x14ac:dyDescent="0.2">
      <c r="A645" s="4" t="s">
        <v>659</v>
      </c>
      <c r="B645" s="5" t="s">
        <v>6</v>
      </c>
      <c r="C645" s="6">
        <v>45058</v>
      </c>
      <c r="D645" s="6">
        <v>45064</v>
      </c>
      <c r="E645" s="5" t="s">
        <v>15</v>
      </c>
      <c r="F645" s="5" t="s">
        <v>3</v>
      </c>
      <c r="G645" s="5">
        <v>523</v>
      </c>
      <c r="H645" s="5">
        <v>102.08</v>
      </c>
      <c r="I645" s="5">
        <v>99.59</v>
      </c>
      <c r="J645" s="5">
        <v>0</v>
      </c>
      <c r="K645" s="5" t="s">
        <v>4</v>
      </c>
      <c r="L645" s="5" t="str">
        <f t="shared" si="10"/>
        <v>Cancelled</v>
      </c>
      <c r="M645" t="str" cm="1">
        <f t="array" ref="M645">_xlfn.IFS(B645="Alpha_Inc","S001", B645="Delta_Logistics","S002", B645="Gamma_Co","S003", B645="Beta_Supplies","S004", B645="Epsilon_Group","S005")</f>
        <v>S002</v>
      </c>
      <c r="N645" t="str" cm="1">
        <f t="array" ref="N645">_xlfn.IFS(E645="Electronics","P001", E645="MRO","P002", E645="Office Supplies","P003", E645="Packaging","P004", E645="Raw Materials","P005")</f>
        <v>P005</v>
      </c>
    </row>
    <row r="646" spans="1:14" x14ac:dyDescent="0.2">
      <c r="A646" s="1" t="s">
        <v>660</v>
      </c>
      <c r="B646" s="2" t="s">
        <v>18</v>
      </c>
      <c r="C646" s="3">
        <v>45203</v>
      </c>
      <c r="D646" s="3">
        <v>45222</v>
      </c>
      <c r="E646" s="2" t="s">
        <v>28</v>
      </c>
      <c r="F646" s="2" t="s">
        <v>24</v>
      </c>
      <c r="G646" s="2">
        <v>481</v>
      </c>
      <c r="H646" s="2">
        <v>90.49</v>
      </c>
      <c r="I646" s="2">
        <v>77.17</v>
      </c>
      <c r="J646" s="2">
        <v>0</v>
      </c>
      <c r="K646" s="2" t="s">
        <v>4</v>
      </c>
      <c r="L646" s="2" t="str">
        <f t="shared" si="10"/>
        <v>Pending</v>
      </c>
      <c r="M646" t="str" cm="1">
        <f t="array" ref="M646">_xlfn.IFS(B646="Alpha_Inc","S001", B646="Delta_Logistics","S002", B646="Gamma_Co","S003", B646="Beta_Supplies","S004", B646="Epsilon_Group","S005")</f>
        <v>S005</v>
      </c>
      <c r="N646" t="str" cm="1">
        <f t="array" ref="N646">_xlfn.IFS(E646="Electronics","P001", E646="MRO","P002", E646="Office Supplies","P003", E646="Packaging","P004", E646="Raw Materials","P005")</f>
        <v>P001</v>
      </c>
    </row>
    <row r="647" spans="1:14" x14ac:dyDescent="0.2">
      <c r="A647" s="4" t="s">
        <v>661</v>
      </c>
      <c r="B647" s="5" t="s">
        <v>9</v>
      </c>
      <c r="C647" s="6">
        <v>44806</v>
      </c>
      <c r="D647" s="6">
        <v>44813</v>
      </c>
      <c r="E647" s="5" t="s">
        <v>2</v>
      </c>
      <c r="F647" s="5" t="s">
        <v>7</v>
      </c>
      <c r="G647" s="5">
        <v>390</v>
      </c>
      <c r="H647" s="5">
        <v>103.81</v>
      </c>
      <c r="I647" s="5">
        <v>100.12</v>
      </c>
      <c r="J647" s="5">
        <v>20</v>
      </c>
      <c r="K647" s="5" t="s">
        <v>4</v>
      </c>
      <c r="L647" s="5" t="str">
        <f t="shared" si="10"/>
        <v>Delivered</v>
      </c>
      <c r="M647" t="str" cm="1">
        <f t="array" ref="M647">_xlfn.IFS(B647="Alpha_Inc","S001", B647="Delta_Logistics","S002", B647="Gamma_Co","S003", B647="Beta_Supplies","S004", B647="Epsilon_Group","S005")</f>
        <v>S003</v>
      </c>
      <c r="N647" t="str" cm="1">
        <f t="array" ref="N647">_xlfn.IFS(E647="Electronics","P001", E647="MRO","P002", E647="Office Supplies","P003", E647="Packaging","P004", E647="Raw Materials","P005")</f>
        <v>P003</v>
      </c>
    </row>
    <row r="648" spans="1:14" x14ac:dyDescent="0.2">
      <c r="A648" s="1" t="s">
        <v>662</v>
      </c>
      <c r="B648" s="2" t="s">
        <v>18</v>
      </c>
      <c r="C648" s="3">
        <v>44843</v>
      </c>
      <c r="D648" s="3">
        <v>44859</v>
      </c>
      <c r="E648" s="2" t="s">
        <v>13</v>
      </c>
      <c r="F648" s="2" t="s">
        <v>7</v>
      </c>
      <c r="G648" s="2">
        <v>600</v>
      </c>
      <c r="H648" s="2">
        <v>43.43</v>
      </c>
      <c r="I648" s="2">
        <v>38.76</v>
      </c>
      <c r="J648" s="2">
        <v>22</v>
      </c>
      <c r="K648" s="2" t="s">
        <v>4</v>
      </c>
      <c r="L648" s="2" t="str">
        <f t="shared" si="10"/>
        <v>Delivered</v>
      </c>
      <c r="M648" t="str" cm="1">
        <f t="array" ref="M648">_xlfn.IFS(B648="Alpha_Inc","S001", B648="Delta_Logistics","S002", B648="Gamma_Co","S003", B648="Beta_Supplies","S004", B648="Epsilon_Group","S005")</f>
        <v>S005</v>
      </c>
      <c r="N648" t="str" cm="1">
        <f t="array" ref="N648">_xlfn.IFS(E648="Electronics","P001", E648="MRO","P002", E648="Office Supplies","P003", E648="Packaging","P004", E648="Raw Materials","P005")</f>
        <v>P004</v>
      </c>
    </row>
    <row r="649" spans="1:14" x14ac:dyDescent="0.2">
      <c r="A649" s="4" t="s">
        <v>663</v>
      </c>
      <c r="B649" s="5" t="s">
        <v>6</v>
      </c>
      <c r="C649" s="6">
        <v>45012</v>
      </c>
      <c r="D649" s="6">
        <f>Table1[[#This Row],[Order_Date]]+14</f>
        <v>45026</v>
      </c>
      <c r="E649" s="5" t="s">
        <v>2</v>
      </c>
      <c r="F649" s="5" t="s">
        <v>7</v>
      </c>
      <c r="G649" s="5">
        <v>1685</v>
      </c>
      <c r="H649" s="5">
        <v>84.58</v>
      </c>
      <c r="I649" s="5">
        <v>75.209999999999994</v>
      </c>
      <c r="J649" s="5">
        <v>253</v>
      </c>
      <c r="K649" s="5" t="s">
        <v>16</v>
      </c>
      <c r="L649" s="5" t="str">
        <f t="shared" si="10"/>
        <v>Delivered</v>
      </c>
      <c r="M649" t="str" cm="1">
        <f t="array" ref="M649">_xlfn.IFS(B649="Alpha_Inc","S001", B649="Delta_Logistics","S002", B649="Gamma_Co","S003", B649="Beta_Supplies","S004", B649="Epsilon_Group","S005")</f>
        <v>S002</v>
      </c>
      <c r="N649" t="str" cm="1">
        <f t="array" ref="N649">_xlfn.IFS(E649="Electronics","P001", E649="MRO","P002", E649="Office Supplies","P003", E649="Packaging","P004", E649="Raw Materials","P005")</f>
        <v>P003</v>
      </c>
    </row>
    <row r="650" spans="1:14" x14ac:dyDescent="0.2">
      <c r="A650" s="1" t="s">
        <v>664</v>
      </c>
      <c r="B650" s="2" t="s">
        <v>18</v>
      </c>
      <c r="C650" s="3">
        <v>44641</v>
      </c>
      <c r="D650" s="3">
        <v>44651</v>
      </c>
      <c r="E650" s="2" t="s">
        <v>13</v>
      </c>
      <c r="F650" s="2" t="s">
        <v>3</v>
      </c>
      <c r="G650" s="2">
        <v>1362</v>
      </c>
      <c r="H650" s="2">
        <v>46.64</v>
      </c>
      <c r="I650" s="2">
        <v>42.85</v>
      </c>
      <c r="J650" s="2">
        <v>33</v>
      </c>
      <c r="K650" s="2" t="s">
        <v>4</v>
      </c>
      <c r="L650" s="2" t="str">
        <f t="shared" si="10"/>
        <v>Cancelled</v>
      </c>
      <c r="M650" t="str" cm="1">
        <f t="array" ref="M650">_xlfn.IFS(B650="Alpha_Inc","S001", B650="Delta_Logistics","S002", B650="Gamma_Co","S003", B650="Beta_Supplies","S004", B650="Epsilon_Group","S005")</f>
        <v>S005</v>
      </c>
      <c r="N650" t="str" cm="1">
        <f t="array" ref="N650">_xlfn.IFS(E650="Electronics","P001", E650="MRO","P002", E650="Office Supplies","P003", E650="Packaging","P004", E650="Raw Materials","P005")</f>
        <v>P004</v>
      </c>
    </row>
    <row r="651" spans="1:14" x14ac:dyDescent="0.2">
      <c r="A651" s="4" t="s">
        <v>665</v>
      </c>
      <c r="B651" s="5" t="s">
        <v>6</v>
      </c>
      <c r="C651" s="6">
        <v>45292</v>
      </c>
      <c r="D651" s="6">
        <v>45295</v>
      </c>
      <c r="E651" s="5" t="s">
        <v>28</v>
      </c>
      <c r="F651" s="5" t="s">
        <v>24</v>
      </c>
      <c r="G651" s="5">
        <v>1327</v>
      </c>
      <c r="H651" s="5">
        <v>59.57</v>
      </c>
      <c r="I651" s="5">
        <v>56.44</v>
      </c>
      <c r="J651" s="5">
        <v>169</v>
      </c>
      <c r="K651" s="5" t="s">
        <v>4</v>
      </c>
      <c r="L651" s="5" t="str">
        <f t="shared" si="10"/>
        <v>Pending</v>
      </c>
      <c r="M651" t="str" cm="1">
        <f t="array" ref="M651">_xlfn.IFS(B651="Alpha_Inc","S001", B651="Delta_Logistics","S002", B651="Gamma_Co","S003", B651="Beta_Supplies","S004", B651="Epsilon_Group","S005")</f>
        <v>S002</v>
      </c>
      <c r="N651" t="str" cm="1">
        <f t="array" ref="N651">_xlfn.IFS(E651="Electronics","P001", E651="MRO","P002", E651="Office Supplies","P003", E651="Packaging","P004", E651="Raw Materials","P005")</f>
        <v>P001</v>
      </c>
    </row>
    <row r="652" spans="1:14" x14ac:dyDescent="0.2">
      <c r="A652" s="1" t="s">
        <v>666</v>
      </c>
      <c r="B652" s="2" t="s">
        <v>18</v>
      </c>
      <c r="C652" s="3">
        <v>44854</v>
      </c>
      <c r="D652" s="3">
        <f>Table1[[#This Row],[Order_Date]]+14</f>
        <v>44868</v>
      </c>
      <c r="E652" s="2" t="s">
        <v>10</v>
      </c>
      <c r="F652" s="2" t="s">
        <v>7</v>
      </c>
      <c r="G652" s="2">
        <v>1807</v>
      </c>
      <c r="H652" s="2">
        <v>69.47</v>
      </c>
      <c r="I652" s="2">
        <v>60</v>
      </c>
      <c r="J652" s="2">
        <v>50</v>
      </c>
      <c r="K652" s="2" t="s">
        <v>4</v>
      </c>
      <c r="L652" s="2" t="str">
        <f t="shared" si="10"/>
        <v>Delivered</v>
      </c>
      <c r="M652" t="str" cm="1">
        <f t="array" ref="M652">_xlfn.IFS(B652="Alpha_Inc","S001", B652="Delta_Logistics","S002", B652="Gamma_Co","S003", B652="Beta_Supplies","S004", B652="Epsilon_Group","S005")</f>
        <v>S005</v>
      </c>
      <c r="N652" t="str" cm="1">
        <f t="array" ref="N652">_xlfn.IFS(E652="Electronics","P001", E652="MRO","P002", E652="Office Supplies","P003", E652="Packaging","P004", E652="Raw Materials","P005")</f>
        <v>P002</v>
      </c>
    </row>
    <row r="653" spans="1:14" x14ac:dyDescent="0.2">
      <c r="A653" s="4" t="s">
        <v>667</v>
      </c>
      <c r="B653" s="5" t="s">
        <v>1</v>
      </c>
      <c r="C653" s="6">
        <v>44802</v>
      </c>
      <c r="D653" s="6">
        <v>44810</v>
      </c>
      <c r="E653" s="5" t="s">
        <v>2</v>
      </c>
      <c r="F653" s="5" t="s">
        <v>24</v>
      </c>
      <c r="G653" s="5">
        <v>406</v>
      </c>
      <c r="H653" s="5">
        <v>91.73</v>
      </c>
      <c r="I653" s="5">
        <v>89.13</v>
      </c>
      <c r="J653" s="5">
        <v>0</v>
      </c>
      <c r="K653" s="5" t="s">
        <v>4</v>
      </c>
      <c r="L653" s="5" t="str">
        <f t="shared" si="10"/>
        <v>Pending</v>
      </c>
      <c r="M653" t="str" cm="1">
        <f t="array" ref="M653">_xlfn.IFS(B653="Alpha_Inc","S001", B653="Delta_Logistics","S002", B653="Gamma_Co","S003", B653="Beta_Supplies","S004", B653="Epsilon_Group","S005")</f>
        <v>S001</v>
      </c>
      <c r="N653" t="str" cm="1">
        <f t="array" ref="N653">_xlfn.IFS(E653="Electronics","P001", E653="MRO","P002", E653="Office Supplies","P003", E653="Packaging","P004", E653="Raw Materials","P005")</f>
        <v>P003</v>
      </c>
    </row>
    <row r="654" spans="1:14" x14ac:dyDescent="0.2">
      <c r="A654" s="1" t="s">
        <v>668</v>
      </c>
      <c r="B654" s="2" t="s">
        <v>9</v>
      </c>
      <c r="C654" s="3">
        <v>44840</v>
      </c>
      <c r="D654" s="3">
        <v>44852</v>
      </c>
      <c r="E654" s="2" t="s">
        <v>15</v>
      </c>
      <c r="F654" s="2" t="s">
        <v>22</v>
      </c>
      <c r="G654" s="2">
        <v>72</v>
      </c>
      <c r="H654" s="2">
        <v>103</v>
      </c>
      <c r="I654" s="2">
        <v>89.49</v>
      </c>
      <c r="J654" s="2">
        <v>1</v>
      </c>
      <c r="K654" s="2" t="s">
        <v>16</v>
      </c>
      <c r="L654" s="2" t="str">
        <f t="shared" si="10"/>
        <v>Partially Delivered</v>
      </c>
      <c r="M654" t="str" cm="1">
        <f t="array" ref="M654">_xlfn.IFS(B654="Alpha_Inc","S001", B654="Delta_Logistics","S002", B654="Gamma_Co","S003", B654="Beta_Supplies","S004", B654="Epsilon_Group","S005")</f>
        <v>S003</v>
      </c>
      <c r="N654" t="str" cm="1">
        <f t="array" ref="N654">_xlfn.IFS(E654="Electronics","P001", E654="MRO","P002", E654="Office Supplies","P003", E654="Packaging","P004", E654="Raw Materials","P005")</f>
        <v>P005</v>
      </c>
    </row>
    <row r="655" spans="1:14" x14ac:dyDescent="0.2">
      <c r="A655" s="4" t="s">
        <v>669</v>
      </c>
      <c r="B655" s="5" t="s">
        <v>9</v>
      </c>
      <c r="C655" s="6">
        <v>44905</v>
      </c>
      <c r="D655" s="6">
        <v>44915</v>
      </c>
      <c r="E655" s="5" t="s">
        <v>2</v>
      </c>
      <c r="F655" s="5" t="s">
        <v>7</v>
      </c>
      <c r="G655" s="5">
        <v>1835</v>
      </c>
      <c r="H655" s="5">
        <v>83.5</v>
      </c>
      <c r="I655" s="5">
        <v>82.36</v>
      </c>
      <c r="J655" s="5">
        <v>85</v>
      </c>
      <c r="K655" s="5" t="s">
        <v>16</v>
      </c>
      <c r="L655" s="5" t="str">
        <f t="shared" si="10"/>
        <v>Delivered</v>
      </c>
      <c r="M655" t="str" cm="1">
        <f t="array" ref="M655">_xlfn.IFS(B655="Alpha_Inc","S001", B655="Delta_Logistics","S002", B655="Gamma_Co","S003", B655="Beta_Supplies","S004", B655="Epsilon_Group","S005")</f>
        <v>S003</v>
      </c>
      <c r="N655" t="str" cm="1">
        <f t="array" ref="N655">_xlfn.IFS(E655="Electronics","P001", E655="MRO","P002", E655="Office Supplies","P003", E655="Packaging","P004", E655="Raw Materials","P005")</f>
        <v>P003</v>
      </c>
    </row>
    <row r="656" spans="1:14" x14ac:dyDescent="0.2">
      <c r="A656" s="1" t="s">
        <v>670</v>
      </c>
      <c r="B656" s="2" t="s">
        <v>6</v>
      </c>
      <c r="C656" s="3">
        <v>44889</v>
      </c>
      <c r="D656" s="3">
        <v>44905</v>
      </c>
      <c r="E656" s="2" t="s">
        <v>28</v>
      </c>
      <c r="F656" s="2" t="s">
        <v>24</v>
      </c>
      <c r="G656" s="2">
        <v>571</v>
      </c>
      <c r="H656" s="2">
        <v>49.98</v>
      </c>
      <c r="I656" s="2">
        <v>45.58</v>
      </c>
      <c r="J656" s="2">
        <v>0</v>
      </c>
      <c r="K656" s="2" t="s">
        <v>16</v>
      </c>
      <c r="L656" s="2" t="str">
        <f t="shared" si="10"/>
        <v>Pending</v>
      </c>
      <c r="M656" t="str" cm="1">
        <f t="array" ref="M656">_xlfn.IFS(B656="Alpha_Inc","S001", B656="Delta_Logistics","S002", B656="Gamma_Co","S003", B656="Beta_Supplies","S004", B656="Epsilon_Group","S005")</f>
        <v>S002</v>
      </c>
      <c r="N656" t="str" cm="1">
        <f t="array" ref="N656">_xlfn.IFS(E656="Electronics","P001", E656="MRO","P002", E656="Office Supplies","P003", E656="Packaging","P004", E656="Raw Materials","P005")</f>
        <v>P001</v>
      </c>
    </row>
    <row r="657" spans="1:14" x14ac:dyDescent="0.2">
      <c r="A657" s="4" t="s">
        <v>671</v>
      </c>
      <c r="B657" s="5" t="s">
        <v>18</v>
      </c>
      <c r="C657" s="6">
        <v>45115</v>
      </c>
      <c r="D657" s="6">
        <v>45116</v>
      </c>
      <c r="E657" s="5" t="s">
        <v>13</v>
      </c>
      <c r="F657" s="5" t="s">
        <v>7</v>
      </c>
      <c r="G657" s="5">
        <v>1831</v>
      </c>
      <c r="H657" s="5">
        <v>52.24</v>
      </c>
      <c r="I657" s="5">
        <v>50.44</v>
      </c>
      <c r="J657" s="5">
        <v>60</v>
      </c>
      <c r="K657" s="5" t="s">
        <v>4</v>
      </c>
      <c r="L657" s="5" t="str">
        <f t="shared" si="10"/>
        <v>Delivered</v>
      </c>
      <c r="M657" t="str" cm="1">
        <f t="array" ref="M657">_xlfn.IFS(B657="Alpha_Inc","S001", B657="Delta_Logistics","S002", B657="Gamma_Co","S003", B657="Beta_Supplies","S004", B657="Epsilon_Group","S005")</f>
        <v>S005</v>
      </c>
      <c r="N657" t="str" cm="1">
        <f t="array" ref="N657">_xlfn.IFS(E657="Electronics","P001", E657="MRO","P002", E657="Office Supplies","P003", E657="Packaging","P004", E657="Raw Materials","P005")</f>
        <v>P004</v>
      </c>
    </row>
    <row r="658" spans="1:14" x14ac:dyDescent="0.2">
      <c r="A658" s="1" t="s">
        <v>672</v>
      </c>
      <c r="B658" s="2" t="s">
        <v>12</v>
      </c>
      <c r="C658" s="3">
        <v>44644</v>
      </c>
      <c r="D658" s="3">
        <v>44658</v>
      </c>
      <c r="E658" s="2" t="s">
        <v>2</v>
      </c>
      <c r="F658" s="2" t="s">
        <v>24</v>
      </c>
      <c r="G658" s="2">
        <v>1910</v>
      </c>
      <c r="H658" s="2">
        <v>77.150000000000006</v>
      </c>
      <c r="I658" s="2">
        <v>68.489999999999995</v>
      </c>
      <c r="J658" s="2">
        <v>170</v>
      </c>
      <c r="K658" s="2" t="s">
        <v>4</v>
      </c>
      <c r="L658" s="2" t="str">
        <f t="shared" si="10"/>
        <v>Pending</v>
      </c>
      <c r="M658" t="str" cm="1">
        <f t="array" ref="M658">_xlfn.IFS(B658="Alpha_Inc","S001", B658="Delta_Logistics","S002", B658="Gamma_Co","S003", B658="Beta_Supplies","S004", B658="Epsilon_Group","S005")</f>
        <v>S004</v>
      </c>
      <c r="N658" t="str" cm="1">
        <f t="array" ref="N658">_xlfn.IFS(E658="Electronics","P001", E658="MRO","P002", E658="Office Supplies","P003", E658="Packaging","P004", E658="Raw Materials","P005")</f>
        <v>P003</v>
      </c>
    </row>
    <row r="659" spans="1:14" x14ac:dyDescent="0.2">
      <c r="A659" s="4" t="s">
        <v>673</v>
      </c>
      <c r="B659" s="5" t="s">
        <v>9</v>
      </c>
      <c r="C659" s="6">
        <v>44703</v>
      </c>
      <c r="D659" s="6">
        <v>44712</v>
      </c>
      <c r="E659" s="5" t="s">
        <v>28</v>
      </c>
      <c r="F659" s="5" t="s">
        <v>22</v>
      </c>
      <c r="G659" s="5">
        <v>1173</v>
      </c>
      <c r="H659" s="5">
        <v>32.119999999999997</v>
      </c>
      <c r="I659" s="5">
        <v>29.18</v>
      </c>
      <c r="J659" s="5">
        <v>0</v>
      </c>
      <c r="K659" s="5" t="s">
        <v>4</v>
      </c>
      <c r="L659" s="5" t="str">
        <f t="shared" si="10"/>
        <v>Partially Delivered</v>
      </c>
      <c r="M659" t="str" cm="1">
        <f t="array" ref="M659">_xlfn.IFS(B659="Alpha_Inc","S001", B659="Delta_Logistics","S002", B659="Gamma_Co","S003", B659="Beta_Supplies","S004", B659="Epsilon_Group","S005")</f>
        <v>S003</v>
      </c>
      <c r="N659" t="str" cm="1">
        <f t="array" ref="N659">_xlfn.IFS(E659="Electronics","P001", E659="MRO","P002", E659="Office Supplies","P003", E659="Packaging","P004", E659="Raw Materials","P005")</f>
        <v>P001</v>
      </c>
    </row>
    <row r="660" spans="1:14" x14ac:dyDescent="0.2">
      <c r="A660" s="1" t="s">
        <v>674</v>
      </c>
      <c r="B660" s="2" t="s">
        <v>18</v>
      </c>
      <c r="C660" s="3">
        <v>44716</v>
      </c>
      <c r="D660" s="3">
        <v>44729</v>
      </c>
      <c r="E660" s="2" t="s">
        <v>13</v>
      </c>
      <c r="F660" s="2" t="s">
        <v>22</v>
      </c>
      <c r="G660" s="2">
        <v>851</v>
      </c>
      <c r="H660" s="2">
        <v>20.440000000000001</v>
      </c>
      <c r="I660" s="2">
        <v>19.22</v>
      </c>
      <c r="J660" s="2">
        <v>22</v>
      </c>
      <c r="K660" s="2" t="s">
        <v>4</v>
      </c>
      <c r="L660" s="2" t="str">
        <f t="shared" si="10"/>
        <v>Partially Delivered</v>
      </c>
      <c r="M660" t="str" cm="1">
        <f t="array" ref="M660">_xlfn.IFS(B660="Alpha_Inc","S001", B660="Delta_Logistics","S002", B660="Gamma_Co","S003", B660="Beta_Supplies","S004", B660="Epsilon_Group","S005")</f>
        <v>S005</v>
      </c>
      <c r="N660" t="str" cm="1">
        <f t="array" ref="N660">_xlfn.IFS(E660="Electronics","P001", E660="MRO","P002", E660="Office Supplies","P003", E660="Packaging","P004", E660="Raw Materials","P005")</f>
        <v>P004</v>
      </c>
    </row>
    <row r="661" spans="1:14" x14ac:dyDescent="0.2">
      <c r="A661" s="4" t="s">
        <v>675</v>
      </c>
      <c r="B661" s="5" t="s">
        <v>18</v>
      </c>
      <c r="C661" s="6">
        <v>44798</v>
      </c>
      <c r="D661" s="6">
        <v>44811</v>
      </c>
      <c r="E661" s="5" t="s">
        <v>10</v>
      </c>
      <c r="F661" s="5" t="s">
        <v>3</v>
      </c>
      <c r="G661" s="5">
        <v>1253</v>
      </c>
      <c r="H661" s="5">
        <v>43.38</v>
      </c>
      <c r="I661" s="5">
        <v>38.01</v>
      </c>
      <c r="J661" s="5">
        <v>34</v>
      </c>
      <c r="K661" s="5" t="s">
        <v>4</v>
      </c>
      <c r="L661" s="5" t="str">
        <f t="shared" si="10"/>
        <v>Cancelled</v>
      </c>
      <c r="M661" t="str" cm="1">
        <f t="array" ref="M661">_xlfn.IFS(B661="Alpha_Inc","S001", B661="Delta_Logistics","S002", B661="Gamma_Co","S003", B661="Beta_Supplies","S004", B661="Epsilon_Group","S005")</f>
        <v>S005</v>
      </c>
      <c r="N661" t="str" cm="1">
        <f t="array" ref="N661">_xlfn.IFS(E661="Electronics","P001", E661="MRO","P002", E661="Office Supplies","P003", E661="Packaging","P004", E661="Raw Materials","P005")</f>
        <v>P002</v>
      </c>
    </row>
    <row r="662" spans="1:14" x14ac:dyDescent="0.2">
      <c r="A662" s="1" t="s">
        <v>676</v>
      </c>
      <c r="B662" s="2" t="s">
        <v>1</v>
      </c>
      <c r="C662" s="3">
        <v>44954</v>
      </c>
      <c r="D662" s="3">
        <v>44972</v>
      </c>
      <c r="E662" s="2" t="s">
        <v>28</v>
      </c>
      <c r="F662" s="2" t="s">
        <v>7</v>
      </c>
      <c r="G662" s="2">
        <v>1296</v>
      </c>
      <c r="H662" s="2">
        <v>38</v>
      </c>
      <c r="I662" s="2">
        <v>33.42</v>
      </c>
      <c r="J662" s="2">
        <v>33</v>
      </c>
      <c r="K662" s="2" t="s">
        <v>4</v>
      </c>
      <c r="L662" s="2" t="str">
        <f t="shared" si="10"/>
        <v>Delivered</v>
      </c>
      <c r="M662" t="str" cm="1">
        <f t="array" ref="M662">_xlfn.IFS(B662="Alpha_Inc","S001", B662="Delta_Logistics","S002", B662="Gamma_Co","S003", B662="Beta_Supplies","S004", B662="Epsilon_Group","S005")</f>
        <v>S001</v>
      </c>
      <c r="N662" t="str" cm="1">
        <f t="array" ref="N662">_xlfn.IFS(E662="Electronics","P001", E662="MRO","P002", E662="Office Supplies","P003", E662="Packaging","P004", E662="Raw Materials","P005")</f>
        <v>P001</v>
      </c>
    </row>
    <row r="663" spans="1:14" x14ac:dyDescent="0.2">
      <c r="A663" s="4" t="s">
        <v>677</v>
      </c>
      <c r="B663" s="5" t="s">
        <v>12</v>
      </c>
      <c r="C663" s="6">
        <v>45272</v>
      </c>
      <c r="D663" s="6">
        <v>45290</v>
      </c>
      <c r="E663" s="5" t="s">
        <v>15</v>
      </c>
      <c r="F663" s="5" t="s">
        <v>7</v>
      </c>
      <c r="G663" s="5">
        <v>1979</v>
      </c>
      <c r="H663" s="5">
        <v>40.880000000000003</v>
      </c>
      <c r="I663" s="5">
        <v>39.46</v>
      </c>
      <c r="J663" s="5">
        <v>221</v>
      </c>
      <c r="K663" s="5" t="s">
        <v>4</v>
      </c>
      <c r="L663" s="5" t="str">
        <f t="shared" si="10"/>
        <v>Delivered</v>
      </c>
      <c r="M663" t="str" cm="1">
        <f t="array" ref="M663">_xlfn.IFS(B663="Alpha_Inc","S001", B663="Delta_Logistics","S002", B663="Gamma_Co","S003", B663="Beta_Supplies","S004", B663="Epsilon_Group","S005")</f>
        <v>S004</v>
      </c>
      <c r="N663" t="str" cm="1">
        <f t="array" ref="N663">_xlfn.IFS(E663="Electronics","P001", E663="MRO","P002", E663="Office Supplies","P003", E663="Packaging","P004", E663="Raw Materials","P005")</f>
        <v>P005</v>
      </c>
    </row>
    <row r="664" spans="1:14" x14ac:dyDescent="0.2">
      <c r="A664" s="1" t="s">
        <v>678</v>
      </c>
      <c r="B664" s="2" t="s">
        <v>9</v>
      </c>
      <c r="C664" s="3">
        <v>44718</v>
      </c>
      <c r="D664" s="3">
        <v>44731</v>
      </c>
      <c r="E664" s="2" t="s">
        <v>2</v>
      </c>
      <c r="F664" s="2" t="s">
        <v>7</v>
      </c>
      <c r="G664" s="2">
        <v>811</v>
      </c>
      <c r="H664" s="2">
        <v>31.8</v>
      </c>
      <c r="I664" s="2">
        <v>30.33</v>
      </c>
      <c r="J664" s="2">
        <v>58</v>
      </c>
      <c r="K664" s="2" t="s">
        <v>4</v>
      </c>
      <c r="L664" s="2" t="str">
        <f t="shared" si="10"/>
        <v>Delivered</v>
      </c>
      <c r="M664" t="str" cm="1">
        <f t="array" ref="M664">_xlfn.IFS(B664="Alpha_Inc","S001", B664="Delta_Logistics","S002", B664="Gamma_Co","S003", B664="Beta_Supplies","S004", B664="Epsilon_Group","S005")</f>
        <v>S003</v>
      </c>
      <c r="N664" t="str" cm="1">
        <f t="array" ref="N664">_xlfn.IFS(E664="Electronics","P001", E664="MRO","P002", E664="Office Supplies","P003", E664="Packaging","P004", E664="Raw Materials","P005")</f>
        <v>P003</v>
      </c>
    </row>
    <row r="665" spans="1:14" x14ac:dyDescent="0.2">
      <c r="A665" s="4" t="s">
        <v>679</v>
      </c>
      <c r="B665" s="5" t="s">
        <v>1</v>
      </c>
      <c r="C665" s="6">
        <v>45285</v>
      </c>
      <c r="D665" s="6">
        <v>45303</v>
      </c>
      <c r="E665" s="5" t="s">
        <v>28</v>
      </c>
      <c r="F665" s="5" t="s">
        <v>7</v>
      </c>
      <c r="G665" s="5">
        <v>1732</v>
      </c>
      <c r="H665" s="5">
        <v>15.37</v>
      </c>
      <c r="I665" s="5">
        <v>14.7</v>
      </c>
      <c r="J665" s="5">
        <v>38</v>
      </c>
      <c r="K665" s="5" t="s">
        <v>4</v>
      </c>
      <c r="L665" s="5" t="str">
        <f t="shared" si="10"/>
        <v>Delivered</v>
      </c>
      <c r="M665" t="str" cm="1">
        <f t="array" ref="M665">_xlfn.IFS(B665="Alpha_Inc","S001", B665="Delta_Logistics","S002", B665="Gamma_Co","S003", B665="Beta_Supplies","S004", B665="Epsilon_Group","S005")</f>
        <v>S001</v>
      </c>
      <c r="N665" t="str" cm="1">
        <f t="array" ref="N665">_xlfn.IFS(E665="Electronics","P001", E665="MRO","P002", E665="Office Supplies","P003", E665="Packaging","P004", E665="Raw Materials","P005")</f>
        <v>P001</v>
      </c>
    </row>
    <row r="666" spans="1:14" x14ac:dyDescent="0.2">
      <c r="A666" s="1" t="s">
        <v>680</v>
      </c>
      <c r="B666" s="2" t="s">
        <v>12</v>
      </c>
      <c r="C666" s="3">
        <v>44781</v>
      </c>
      <c r="D666" s="3">
        <v>44801</v>
      </c>
      <c r="E666" s="2" t="s">
        <v>13</v>
      </c>
      <c r="F666" s="2" t="s">
        <v>7</v>
      </c>
      <c r="G666" s="2">
        <v>491</v>
      </c>
      <c r="H666" s="2">
        <v>12.01</v>
      </c>
      <c r="I666" s="2">
        <v>11.67</v>
      </c>
      <c r="J666" s="2">
        <v>47</v>
      </c>
      <c r="K666" s="2" t="s">
        <v>4</v>
      </c>
      <c r="L666" s="2" t="str">
        <f t="shared" si="10"/>
        <v>Delivered</v>
      </c>
      <c r="M666" t="str" cm="1">
        <f t="array" ref="M666">_xlfn.IFS(B666="Alpha_Inc","S001", B666="Delta_Logistics","S002", B666="Gamma_Co","S003", B666="Beta_Supplies","S004", B666="Epsilon_Group","S005")</f>
        <v>S004</v>
      </c>
      <c r="N666" t="str" cm="1">
        <f t="array" ref="N666">_xlfn.IFS(E666="Electronics","P001", E666="MRO","P002", E666="Office Supplies","P003", E666="Packaging","P004", E666="Raw Materials","P005")</f>
        <v>P004</v>
      </c>
    </row>
    <row r="667" spans="1:14" x14ac:dyDescent="0.2">
      <c r="A667" s="4" t="s">
        <v>681</v>
      </c>
      <c r="B667" s="5" t="s">
        <v>9</v>
      </c>
      <c r="C667" s="6">
        <v>44627</v>
      </c>
      <c r="D667" s="6">
        <v>44631</v>
      </c>
      <c r="E667" s="5" t="s">
        <v>13</v>
      </c>
      <c r="F667" s="5" t="s">
        <v>3</v>
      </c>
      <c r="G667" s="5">
        <v>1681</v>
      </c>
      <c r="H667" s="5">
        <v>99.88</v>
      </c>
      <c r="I667" s="5">
        <v>96.38</v>
      </c>
      <c r="J667" s="5">
        <v>90</v>
      </c>
      <c r="K667" s="5" t="s">
        <v>4</v>
      </c>
      <c r="L667" s="5" t="str">
        <f t="shared" si="10"/>
        <v>Cancelled</v>
      </c>
      <c r="M667" t="str" cm="1">
        <f t="array" ref="M667">_xlfn.IFS(B667="Alpha_Inc","S001", B667="Delta_Logistics","S002", B667="Gamma_Co","S003", B667="Beta_Supplies","S004", B667="Epsilon_Group","S005")</f>
        <v>S003</v>
      </c>
      <c r="N667" t="str" cm="1">
        <f t="array" ref="N667">_xlfn.IFS(E667="Electronics","P001", E667="MRO","P002", E667="Office Supplies","P003", E667="Packaging","P004", E667="Raw Materials","P005")</f>
        <v>P004</v>
      </c>
    </row>
    <row r="668" spans="1:14" x14ac:dyDescent="0.2">
      <c r="A668" s="1" t="s">
        <v>682</v>
      </c>
      <c r="B668" s="2" t="s">
        <v>1</v>
      </c>
      <c r="C668" s="3">
        <v>44986</v>
      </c>
      <c r="D668" s="3">
        <v>44990</v>
      </c>
      <c r="E668" s="2" t="s">
        <v>15</v>
      </c>
      <c r="F668" s="2" t="s">
        <v>22</v>
      </c>
      <c r="G668" s="2">
        <v>818</v>
      </c>
      <c r="H668" s="2">
        <v>51.89</v>
      </c>
      <c r="I668" s="2">
        <v>47.85</v>
      </c>
      <c r="J668" s="2">
        <v>12</v>
      </c>
      <c r="K668" s="2" t="s">
        <v>4</v>
      </c>
      <c r="L668" s="2" t="str">
        <f t="shared" si="10"/>
        <v>Partially Delivered</v>
      </c>
      <c r="M668" t="str" cm="1">
        <f t="array" ref="M668">_xlfn.IFS(B668="Alpha_Inc","S001", B668="Delta_Logistics","S002", B668="Gamma_Co","S003", B668="Beta_Supplies","S004", B668="Epsilon_Group","S005")</f>
        <v>S001</v>
      </c>
      <c r="N668" t="str" cm="1">
        <f t="array" ref="N668">_xlfn.IFS(E668="Electronics","P001", E668="MRO","P002", E668="Office Supplies","P003", E668="Packaging","P004", E668="Raw Materials","P005")</f>
        <v>P005</v>
      </c>
    </row>
    <row r="669" spans="1:14" x14ac:dyDescent="0.2">
      <c r="A669" s="4" t="s">
        <v>683</v>
      </c>
      <c r="B669" s="5" t="s">
        <v>12</v>
      </c>
      <c r="C669" s="6">
        <v>44979</v>
      </c>
      <c r="D669" s="6">
        <v>44990</v>
      </c>
      <c r="E669" s="5" t="s">
        <v>2</v>
      </c>
      <c r="F669" s="5" t="s">
        <v>7</v>
      </c>
      <c r="G669" s="5">
        <v>1065</v>
      </c>
      <c r="H669" s="5">
        <v>47.49</v>
      </c>
      <c r="I669" s="5">
        <v>41.42</v>
      </c>
      <c r="J669" s="5">
        <v>113</v>
      </c>
      <c r="K669" s="5" t="s">
        <v>4</v>
      </c>
      <c r="L669" s="5" t="str">
        <f t="shared" si="10"/>
        <v>Delivered</v>
      </c>
      <c r="M669" t="str" cm="1">
        <f t="array" ref="M669">_xlfn.IFS(B669="Alpha_Inc","S001", B669="Delta_Logistics","S002", B669="Gamma_Co","S003", B669="Beta_Supplies","S004", B669="Epsilon_Group","S005")</f>
        <v>S004</v>
      </c>
      <c r="N669" t="str" cm="1">
        <f t="array" ref="N669">_xlfn.IFS(E669="Electronics","P001", E669="MRO","P002", E669="Office Supplies","P003", E669="Packaging","P004", E669="Raw Materials","P005")</f>
        <v>P003</v>
      </c>
    </row>
    <row r="670" spans="1:14" x14ac:dyDescent="0.2">
      <c r="A670" s="1" t="s">
        <v>684</v>
      </c>
      <c r="B670" s="2" t="s">
        <v>9</v>
      </c>
      <c r="C670" s="3">
        <v>44900</v>
      </c>
      <c r="D670" s="3">
        <v>44912</v>
      </c>
      <c r="E670" s="2" t="s">
        <v>13</v>
      </c>
      <c r="F670" s="2" t="s">
        <v>7</v>
      </c>
      <c r="G670" s="2">
        <v>1398</v>
      </c>
      <c r="H670" s="2">
        <v>75.08</v>
      </c>
      <c r="I670" s="2">
        <v>67.09</v>
      </c>
      <c r="J670" s="2">
        <v>57</v>
      </c>
      <c r="K670" s="2" t="s">
        <v>4</v>
      </c>
      <c r="L670" s="2" t="str">
        <f t="shared" si="10"/>
        <v>Delivered</v>
      </c>
      <c r="M670" t="str" cm="1">
        <f t="array" ref="M670">_xlfn.IFS(B670="Alpha_Inc","S001", B670="Delta_Logistics","S002", B670="Gamma_Co","S003", B670="Beta_Supplies","S004", B670="Epsilon_Group","S005")</f>
        <v>S003</v>
      </c>
      <c r="N670" t="str" cm="1">
        <f t="array" ref="N670">_xlfn.IFS(E670="Electronics","P001", E670="MRO","P002", E670="Office Supplies","P003", E670="Packaging","P004", E670="Raw Materials","P005")</f>
        <v>P004</v>
      </c>
    </row>
    <row r="671" spans="1:14" x14ac:dyDescent="0.2">
      <c r="A671" s="4" t="s">
        <v>685</v>
      </c>
      <c r="B671" s="5" t="s">
        <v>12</v>
      </c>
      <c r="C671" s="6">
        <v>45117</v>
      </c>
      <c r="D671" s="6">
        <v>45124</v>
      </c>
      <c r="E671" s="5" t="s">
        <v>13</v>
      </c>
      <c r="F671" s="5" t="s">
        <v>7</v>
      </c>
      <c r="G671" s="5">
        <v>565</v>
      </c>
      <c r="H671" s="5">
        <v>32.31</v>
      </c>
      <c r="I671" s="5">
        <v>29.76</v>
      </c>
      <c r="J671" s="5">
        <v>60</v>
      </c>
      <c r="K671" s="5" t="s">
        <v>4</v>
      </c>
      <c r="L671" s="5" t="str">
        <f t="shared" si="10"/>
        <v>Delivered</v>
      </c>
      <c r="M671" t="str" cm="1">
        <f t="array" ref="M671">_xlfn.IFS(B671="Alpha_Inc","S001", B671="Delta_Logistics","S002", B671="Gamma_Co","S003", B671="Beta_Supplies","S004", B671="Epsilon_Group","S005")</f>
        <v>S004</v>
      </c>
      <c r="N671" t="str" cm="1">
        <f t="array" ref="N671">_xlfn.IFS(E671="Electronics","P001", E671="MRO","P002", E671="Office Supplies","P003", E671="Packaging","P004", E671="Raw Materials","P005")</f>
        <v>P004</v>
      </c>
    </row>
    <row r="672" spans="1:14" x14ac:dyDescent="0.2">
      <c r="A672" s="1" t="s">
        <v>686</v>
      </c>
      <c r="B672" s="2" t="s">
        <v>18</v>
      </c>
      <c r="C672" s="3">
        <v>45039</v>
      </c>
      <c r="D672" s="3">
        <v>45052</v>
      </c>
      <c r="E672" s="2" t="s">
        <v>13</v>
      </c>
      <c r="F672" s="2" t="s">
        <v>24</v>
      </c>
      <c r="G672" s="2">
        <v>1089</v>
      </c>
      <c r="H672" s="2">
        <v>102.66</v>
      </c>
      <c r="I672" s="2">
        <v>89.21</v>
      </c>
      <c r="J672" s="2">
        <v>33</v>
      </c>
      <c r="K672" s="2" t="s">
        <v>4</v>
      </c>
      <c r="L672" s="2" t="str">
        <f t="shared" si="10"/>
        <v>Pending</v>
      </c>
      <c r="M672" t="str" cm="1">
        <f t="array" ref="M672">_xlfn.IFS(B672="Alpha_Inc","S001", B672="Delta_Logistics","S002", B672="Gamma_Co","S003", B672="Beta_Supplies","S004", B672="Epsilon_Group","S005")</f>
        <v>S005</v>
      </c>
      <c r="N672" t="str" cm="1">
        <f t="array" ref="N672">_xlfn.IFS(E672="Electronics","P001", E672="MRO","P002", E672="Office Supplies","P003", E672="Packaging","P004", E672="Raw Materials","P005")</f>
        <v>P004</v>
      </c>
    </row>
    <row r="673" spans="1:14" x14ac:dyDescent="0.2">
      <c r="A673" s="4" t="s">
        <v>687</v>
      </c>
      <c r="B673" s="5" t="s">
        <v>6</v>
      </c>
      <c r="C673" s="6">
        <v>44987</v>
      </c>
      <c r="D673" s="6">
        <v>44989</v>
      </c>
      <c r="E673" s="5" t="s">
        <v>28</v>
      </c>
      <c r="F673" s="5" t="s">
        <v>7</v>
      </c>
      <c r="G673" s="5">
        <v>841</v>
      </c>
      <c r="H673" s="5">
        <v>86.43</v>
      </c>
      <c r="I673" s="5">
        <v>83.77</v>
      </c>
      <c r="J673" s="5">
        <v>125</v>
      </c>
      <c r="K673" s="5" t="s">
        <v>16</v>
      </c>
      <c r="L673" s="5" t="str">
        <f t="shared" si="10"/>
        <v>Delivered</v>
      </c>
      <c r="M673" t="str" cm="1">
        <f t="array" ref="M673">_xlfn.IFS(B673="Alpha_Inc","S001", B673="Delta_Logistics","S002", B673="Gamma_Co","S003", B673="Beta_Supplies","S004", B673="Epsilon_Group","S005")</f>
        <v>S002</v>
      </c>
      <c r="N673" t="str" cm="1">
        <f t="array" ref="N673">_xlfn.IFS(E673="Electronics","P001", E673="MRO","P002", E673="Office Supplies","P003", E673="Packaging","P004", E673="Raw Materials","P005")</f>
        <v>P001</v>
      </c>
    </row>
    <row r="674" spans="1:14" x14ac:dyDescent="0.2">
      <c r="A674" s="1" t="s">
        <v>688</v>
      </c>
      <c r="B674" s="2" t="s">
        <v>6</v>
      </c>
      <c r="C674" s="3">
        <v>44625</v>
      </c>
      <c r="D674" s="3">
        <v>44636</v>
      </c>
      <c r="E674" s="2" t="s">
        <v>28</v>
      </c>
      <c r="F674" s="2" t="s">
        <v>7</v>
      </c>
      <c r="G674" s="2">
        <v>385</v>
      </c>
      <c r="H674" s="2">
        <v>18.23</v>
      </c>
      <c r="I674" s="2">
        <v>17.739999999999998</v>
      </c>
      <c r="J674" s="2">
        <v>0</v>
      </c>
      <c r="K674" s="2" t="s">
        <v>4</v>
      </c>
      <c r="L674" s="2" t="str">
        <f t="shared" si="10"/>
        <v>Delivered</v>
      </c>
      <c r="M674" t="str" cm="1">
        <f t="array" ref="M674">_xlfn.IFS(B674="Alpha_Inc","S001", B674="Delta_Logistics","S002", B674="Gamma_Co","S003", B674="Beta_Supplies","S004", B674="Epsilon_Group","S005")</f>
        <v>S002</v>
      </c>
      <c r="N674" t="str" cm="1">
        <f t="array" ref="N674">_xlfn.IFS(E674="Electronics","P001", E674="MRO","P002", E674="Office Supplies","P003", E674="Packaging","P004", E674="Raw Materials","P005")</f>
        <v>P001</v>
      </c>
    </row>
    <row r="675" spans="1:14" x14ac:dyDescent="0.2">
      <c r="A675" s="4" t="s">
        <v>689</v>
      </c>
      <c r="B675" s="5" t="s">
        <v>18</v>
      </c>
      <c r="C675" s="6">
        <v>44773</v>
      </c>
      <c r="D675" s="6">
        <v>44790</v>
      </c>
      <c r="E675" s="5" t="s">
        <v>2</v>
      </c>
      <c r="F675" s="5" t="s">
        <v>7</v>
      </c>
      <c r="G675" s="5">
        <v>1832</v>
      </c>
      <c r="H675" s="5">
        <v>49.01</v>
      </c>
      <c r="I675" s="5">
        <v>41.86</v>
      </c>
      <c r="J675" s="5">
        <v>52</v>
      </c>
      <c r="K675" s="5" t="s">
        <v>4</v>
      </c>
      <c r="L675" s="5" t="str">
        <f t="shared" si="10"/>
        <v>Delivered</v>
      </c>
      <c r="M675" t="str" cm="1">
        <f t="array" ref="M675">_xlfn.IFS(B675="Alpha_Inc","S001", B675="Delta_Logistics","S002", B675="Gamma_Co","S003", B675="Beta_Supplies","S004", B675="Epsilon_Group","S005")</f>
        <v>S005</v>
      </c>
      <c r="N675" t="str" cm="1">
        <f t="array" ref="N675">_xlfn.IFS(E675="Electronics","P001", E675="MRO","P002", E675="Office Supplies","P003", E675="Packaging","P004", E675="Raw Materials","P005")</f>
        <v>P003</v>
      </c>
    </row>
    <row r="676" spans="1:14" x14ac:dyDescent="0.2">
      <c r="A676" s="1" t="s">
        <v>690</v>
      </c>
      <c r="B676" s="2" t="s">
        <v>12</v>
      </c>
      <c r="C676" s="3">
        <v>44992</v>
      </c>
      <c r="D676" s="3">
        <v>45012</v>
      </c>
      <c r="E676" s="2" t="s">
        <v>15</v>
      </c>
      <c r="F676" s="2" t="s">
        <v>7</v>
      </c>
      <c r="G676" s="2">
        <v>307</v>
      </c>
      <c r="H676" s="2">
        <v>95.36</v>
      </c>
      <c r="I676" s="2">
        <v>83.63</v>
      </c>
      <c r="J676" s="2">
        <v>29</v>
      </c>
      <c r="K676" s="2" t="s">
        <v>4</v>
      </c>
      <c r="L676" s="2" t="str">
        <f t="shared" si="10"/>
        <v>Delivered</v>
      </c>
      <c r="M676" t="str" cm="1">
        <f t="array" ref="M676">_xlfn.IFS(B676="Alpha_Inc","S001", B676="Delta_Logistics","S002", B676="Gamma_Co","S003", B676="Beta_Supplies","S004", B676="Epsilon_Group","S005")</f>
        <v>S004</v>
      </c>
      <c r="N676" t="str" cm="1">
        <f t="array" ref="N676">_xlfn.IFS(E676="Electronics","P001", E676="MRO","P002", E676="Office Supplies","P003", E676="Packaging","P004", E676="Raw Materials","P005")</f>
        <v>P005</v>
      </c>
    </row>
    <row r="677" spans="1:14" x14ac:dyDescent="0.2">
      <c r="A677" s="4" t="s">
        <v>691</v>
      </c>
      <c r="B677" s="5" t="s">
        <v>18</v>
      </c>
      <c r="C677" s="6">
        <v>44960</v>
      </c>
      <c r="D677" s="6">
        <v>44965</v>
      </c>
      <c r="E677" s="5" t="s">
        <v>2</v>
      </c>
      <c r="F677" s="5" t="s">
        <v>7</v>
      </c>
      <c r="G677" s="5">
        <v>546</v>
      </c>
      <c r="H677" s="5">
        <v>101.2</v>
      </c>
      <c r="I677" s="5">
        <v>97.82</v>
      </c>
      <c r="J677" s="5">
        <v>21</v>
      </c>
      <c r="K677" s="5" t="s">
        <v>4</v>
      </c>
      <c r="L677" s="5" t="str">
        <f t="shared" si="10"/>
        <v>Delivered</v>
      </c>
      <c r="M677" t="str" cm="1">
        <f t="array" ref="M677">_xlfn.IFS(B677="Alpha_Inc","S001", B677="Delta_Logistics","S002", B677="Gamma_Co","S003", B677="Beta_Supplies","S004", B677="Epsilon_Group","S005")</f>
        <v>S005</v>
      </c>
      <c r="N677" t="str" cm="1">
        <f t="array" ref="N677">_xlfn.IFS(E677="Electronics","P001", E677="MRO","P002", E677="Office Supplies","P003", E677="Packaging","P004", E677="Raw Materials","P005")</f>
        <v>P003</v>
      </c>
    </row>
    <row r="678" spans="1:14" x14ac:dyDescent="0.2">
      <c r="A678" s="1" t="s">
        <v>692</v>
      </c>
      <c r="B678" s="2" t="s">
        <v>6</v>
      </c>
      <c r="C678" s="3">
        <v>45160</v>
      </c>
      <c r="D678" s="3">
        <v>45180</v>
      </c>
      <c r="E678" s="2" t="s">
        <v>15</v>
      </c>
      <c r="F678" s="2" t="s">
        <v>7</v>
      </c>
      <c r="G678" s="2">
        <v>945</v>
      </c>
      <c r="H678" s="2">
        <v>57.01</v>
      </c>
      <c r="I678" s="2">
        <v>55.14</v>
      </c>
      <c r="J678" s="2">
        <v>147</v>
      </c>
      <c r="K678" s="2" t="s">
        <v>16</v>
      </c>
      <c r="L678" s="2" t="str">
        <f t="shared" si="10"/>
        <v>Delivered</v>
      </c>
      <c r="M678" t="str" cm="1">
        <f t="array" ref="M678">_xlfn.IFS(B678="Alpha_Inc","S001", B678="Delta_Logistics","S002", B678="Gamma_Co","S003", B678="Beta_Supplies","S004", B678="Epsilon_Group","S005")</f>
        <v>S002</v>
      </c>
      <c r="N678" t="str" cm="1">
        <f t="array" ref="N678">_xlfn.IFS(E678="Electronics","P001", E678="MRO","P002", E678="Office Supplies","P003", E678="Packaging","P004", E678="Raw Materials","P005")</f>
        <v>P005</v>
      </c>
    </row>
    <row r="679" spans="1:14" x14ac:dyDescent="0.2">
      <c r="A679" s="4" t="s">
        <v>693</v>
      </c>
      <c r="B679" s="5" t="s">
        <v>6</v>
      </c>
      <c r="C679" s="6">
        <v>45274</v>
      </c>
      <c r="D679" s="6">
        <v>45287</v>
      </c>
      <c r="E679" s="5" t="s">
        <v>10</v>
      </c>
      <c r="F679" s="5" t="s">
        <v>24</v>
      </c>
      <c r="G679" s="5">
        <v>209</v>
      </c>
      <c r="H679" s="5">
        <v>72.709999999999994</v>
      </c>
      <c r="I679" s="5">
        <v>64.34</v>
      </c>
      <c r="J679" s="5">
        <v>39</v>
      </c>
      <c r="K679" s="5" t="s">
        <v>4</v>
      </c>
      <c r="L679" s="5" t="str">
        <f t="shared" si="10"/>
        <v>Pending</v>
      </c>
      <c r="M679" t="str" cm="1">
        <f t="array" ref="M679">_xlfn.IFS(B679="Alpha_Inc","S001", B679="Delta_Logistics","S002", B679="Gamma_Co","S003", B679="Beta_Supplies","S004", B679="Epsilon_Group","S005")</f>
        <v>S002</v>
      </c>
      <c r="N679" t="str" cm="1">
        <f t="array" ref="N679">_xlfn.IFS(E679="Electronics","P001", E679="MRO","P002", E679="Office Supplies","P003", E679="Packaging","P004", E679="Raw Materials","P005")</f>
        <v>P002</v>
      </c>
    </row>
    <row r="680" spans="1:14" x14ac:dyDescent="0.2">
      <c r="A680" s="1" t="s">
        <v>694</v>
      </c>
      <c r="B680" s="2" t="s">
        <v>12</v>
      </c>
      <c r="C680" s="3">
        <v>44582</v>
      </c>
      <c r="D680" s="3">
        <f>Table1[[#This Row],[Order_Date]]+14</f>
        <v>44596</v>
      </c>
      <c r="E680" s="2" t="s">
        <v>13</v>
      </c>
      <c r="F680" s="2" t="s">
        <v>7</v>
      </c>
      <c r="G680" s="2">
        <v>1548</v>
      </c>
      <c r="H680" s="2">
        <v>25.03</v>
      </c>
      <c r="I680" s="2">
        <v>22.87</v>
      </c>
      <c r="J680" s="2">
        <v>0</v>
      </c>
      <c r="K680" s="2" t="s">
        <v>4</v>
      </c>
      <c r="L680" s="2" t="str">
        <f t="shared" si="10"/>
        <v>Delivered</v>
      </c>
      <c r="M680" t="str" cm="1">
        <f t="array" ref="M680">_xlfn.IFS(B680="Alpha_Inc","S001", B680="Delta_Logistics","S002", B680="Gamma_Co","S003", B680="Beta_Supplies","S004", B680="Epsilon_Group","S005")</f>
        <v>S004</v>
      </c>
      <c r="N680" t="str" cm="1">
        <f t="array" ref="N680">_xlfn.IFS(E680="Electronics","P001", E680="MRO","P002", E680="Office Supplies","P003", E680="Packaging","P004", E680="Raw Materials","P005")</f>
        <v>P004</v>
      </c>
    </row>
    <row r="681" spans="1:14" x14ac:dyDescent="0.2">
      <c r="A681" s="4" t="s">
        <v>695</v>
      </c>
      <c r="B681" s="5" t="s">
        <v>6</v>
      </c>
      <c r="C681" s="6">
        <v>45151</v>
      </c>
      <c r="D681" s="6">
        <v>45161</v>
      </c>
      <c r="E681" s="5" t="s">
        <v>15</v>
      </c>
      <c r="F681" s="5" t="s">
        <v>7</v>
      </c>
      <c r="G681" s="5">
        <v>901</v>
      </c>
      <c r="H681" s="5">
        <v>108.63</v>
      </c>
      <c r="I681" s="5">
        <v>106.3</v>
      </c>
      <c r="J681" s="5">
        <v>141</v>
      </c>
      <c r="K681" s="5" t="s">
        <v>4</v>
      </c>
      <c r="L681" s="5" t="str">
        <f t="shared" si="10"/>
        <v>Delivered</v>
      </c>
      <c r="M681" t="str" cm="1">
        <f t="array" ref="M681">_xlfn.IFS(B681="Alpha_Inc","S001", B681="Delta_Logistics","S002", B681="Gamma_Co","S003", B681="Beta_Supplies","S004", B681="Epsilon_Group","S005")</f>
        <v>S002</v>
      </c>
      <c r="N681" t="str" cm="1">
        <f t="array" ref="N681">_xlfn.IFS(E681="Electronics","P001", E681="MRO","P002", E681="Office Supplies","P003", E681="Packaging","P004", E681="Raw Materials","P005")</f>
        <v>P005</v>
      </c>
    </row>
    <row r="682" spans="1:14" x14ac:dyDescent="0.2">
      <c r="A682" s="1" t="s">
        <v>696</v>
      </c>
      <c r="B682" s="2" t="s">
        <v>18</v>
      </c>
      <c r="C682" s="3">
        <v>44951</v>
      </c>
      <c r="D682" s="3">
        <v>44968</v>
      </c>
      <c r="E682" s="2" t="s">
        <v>13</v>
      </c>
      <c r="F682" s="2" t="s">
        <v>7</v>
      </c>
      <c r="G682" s="2">
        <v>1737</v>
      </c>
      <c r="H682" s="2">
        <v>32.700000000000003</v>
      </c>
      <c r="I682" s="2">
        <v>31.02</v>
      </c>
      <c r="J682" s="2">
        <v>48</v>
      </c>
      <c r="K682" s="2" t="s">
        <v>4</v>
      </c>
      <c r="L682" s="2" t="str">
        <f t="shared" si="10"/>
        <v>Delivered</v>
      </c>
      <c r="M682" t="str" cm="1">
        <f t="array" ref="M682">_xlfn.IFS(B682="Alpha_Inc","S001", B682="Delta_Logistics","S002", B682="Gamma_Co","S003", B682="Beta_Supplies","S004", B682="Epsilon_Group","S005")</f>
        <v>S005</v>
      </c>
      <c r="N682" t="str" cm="1">
        <f t="array" ref="N682">_xlfn.IFS(E682="Electronics","P001", E682="MRO","P002", E682="Office Supplies","P003", E682="Packaging","P004", E682="Raw Materials","P005")</f>
        <v>P004</v>
      </c>
    </row>
    <row r="683" spans="1:14" x14ac:dyDescent="0.2">
      <c r="A683" s="4" t="s">
        <v>697</v>
      </c>
      <c r="B683" s="5" t="s">
        <v>12</v>
      </c>
      <c r="C683" s="6">
        <v>45050</v>
      </c>
      <c r="D683" s="6">
        <v>45068</v>
      </c>
      <c r="E683" s="5" t="s">
        <v>15</v>
      </c>
      <c r="F683" s="5" t="s">
        <v>7</v>
      </c>
      <c r="G683" s="5">
        <v>1981</v>
      </c>
      <c r="H683" s="5">
        <v>102.43</v>
      </c>
      <c r="I683" s="5">
        <v>90.99</v>
      </c>
      <c r="J683" s="5">
        <v>204</v>
      </c>
      <c r="K683" s="5" t="s">
        <v>4</v>
      </c>
      <c r="L683" s="5" t="str">
        <f t="shared" si="10"/>
        <v>Delivered</v>
      </c>
      <c r="M683" t="str" cm="1">
        <f t="array" ref="M683">_xlfn.IFS(B683="Alpha_Inc","S001", B683="Delta_Logistics","S002", B683="Gamma_Co","S003", B683="Beta_Supplies","S004", B683="Epsilon_Group","S005")</f>
        <v>S004</v>
      </c>
      <c r="N683" t="str" cm="1">
        <f t="array" ref="N683">_xlfn.IFS(E683="Electronics","P001", E683="MRO","P002", E683="Office Supplies","P003", E683="Packaging","P004", E683="Raw Materials","P005")</f>
        <v>P005</v>
      </c>
    </row>
    <row r="684" spans="1:14" x14ac:dyDescent="0.2">
      <c r="A684" s="1" t="s">
        <v>698</v>
      </c>
      <c r="B684" s="2" t="s">
        <v>18</v>
      </c>
      <c r="C684" s="3">
        <v>44568</v>
      </c>
      <c r="D684" s="3">
        <v>44587</v>
      </c>
      <c r="E684" s="2" t="s">
        <v>10</v>
      </c>
      <c r="F684" s="2" t="s">
        <v>24</v>
      </c>
      <c r="G684" s="2">
        <v>739</v>
      </c>
      <c r="H684" s="2">
        <v>68.47</v>
      </c>
      <c r="I684" s="2">
        <v>66.09</v>
      </c>
      <c r="J684" s="2">
        <v>19</v>
      </c>
      <c r="K684" s="2" t="s">
        <v>4</v>
      </c>
      <c r="L684" s="2" t="str">
        <f t="shared" si="10"/>
        <v>Pending</v>
      </c>
      <c r="M684" t="str" cm="1">
        <f t="array" ref="M684">_xlfn.IFS(B684="Alpha_Inc","S001", B684="Delta_Logistics","S002", B684="Gamma_Co","S003", B684="Beta_Supplies","S004", B684="Epsilon_Group","S005")</f>
        <v>S005</v>
      </c>
      <c r="N684" t="str" cm="1">
        <f t="array" ref="N684">_xlfn.IFS(E684="Electronics","P001", E684="MRO","P002", E684="Office Supplies","P003", E684="Packaging","P004", E684="Raw Materials","P005")</f>
        <v>P002</v>
      </c>
    </row>
    <row r="685" spans="1:14" x14ac:dyDescent="0.2">
      <c r="A685" s="4" t="s">
        <v>699</v>
      </c>
      <c r="B685" s="5" t="s">
        <v>12</v>
      </c>
      <c r="C685" s="6">
        <v>44922</v>
      </c>
      <c r="D685" s="6">
        <v>44923</v>
      </c>
      <c r="E685" s="5" t="s">
        <v>15</v>
      </c>
      <c r="F685" s="5" t="s">
        <v>7</v>
      </c>
      <c r="G685" s="5">
        <v>1748</v>
      </c>
      <c r="H685" s="5">
        <v>68.25</v>
      </c>
      <c r="I685" s="5">
        <v>62.84</v>
      </c>
      <c r="J685" s="5">
        <v>171</v>
      </c>
      <c r="K685" s="5" t="s">
        <v>4</v>
      </c>
      <c r="L685" s="5" t="str">
        <f t="shared" si="10"/>
        <v>Delivered</v>
      </c>
      <c r="M685" t="str" cm="1">
        <f t="array" ref="M685">_xlfn.IFS(B685="Alpha_Inc","S001", B685="Delta_Logistics","S002", B685="Gamma_Co","S003", B685="Beta_Supplies","S004", B685="Epsilon_Group","S005")</f>
        <v>S004</v>
      </c>
      <c r="N685" t="str" cm="1">
        <f t="array" ref="N685">_xlfn.IFS(E685="Electronics","P001", E685="MRO","P002", E685="Office Supplies","P003", E685="Packaging","P004", E685="Raw Materials","P005")</f>
        <v>P005</v>
      </c>
    </row>
    <row r="686" spans="1:14" x14ac:dyDescent="0.2">
      <c r="A686" s="1" t="s">
        <v>700</v>
      </c>
      <c r="B686" s="2" t="s">
        <v>6</v>
      </c>
      <c r="C686" s="3">
        <v>44867</v>
      </c>
      <c r="D686" s="3">
        <v>44871</v>
      </c>
      <c r="E686" s="2" t="s">
        <v>2</v>
      </c>
      <c r="F686" s="2" t="s">
        <v>3</v>
      </c>
      <c r="G686" s="2">
        <v>429</v>
      </c>
      <c r="H686" s="2">
        <v>58.95</v>
      </c>
      <c r="I686" s="2">
        <v>55.35</v>
      </c>
      <c r="J686" s="2">
        <v>59</v>
      </c>
      <c r="K686" s="2" t="s">
        <v>16</v>
      </c>
      <c r="L686" s="2" t="str">
        <f t="shared" si="10"/>
        <v>Cancelled</v>
      </c>
      <c r="M686" t="str" cm="1">
        <f t="array" ref="M686">_xlfn.IFS(B686="Alpha_Inc","S001", B686="Delta_Logistics","S002", B686="Gamma_Co","S003", B686="Beta_Supplies","S004", B686="Epsilon_Group","S005")</f>
        <v>S002</v>
      </c>
      <c r="N686" t="str" cm="1">
        <f t="array" ref="N686">_xlfn.IFS(E686="Electronics","P001", E686="MRO","P002", E686="Office Supplies","P003", E686="Packaging","P004", E686="Raw Materials","P005")</f>
        <v>P003</v>
      </c>
    </row>
    <row r="687" spans="1:14" x14ac:dyDescent="0.2">
      <c r="A687" s="4" t="s">
        <v>701</v>
      </c>
      <c r="B687" s="5" t="s">
        <v>9</v>
      </c>
      <c r="C687" s="6">
        <v>44961</v>
      </c>
      <c r="D687" s="6">
        <f>Table1[[#This Row],[Order_Date]]+14</f>
        <v>44975</v>
      </c>
      <c r="E687" s="5" t="s">
        <v>28</v>
      </c>
      <c r="F687" s="5" t="s">
        <v>7</v>
      </c>
      <c r="G687" s="5">
        <v>1618</v>
      </c>
      <c r="H687" s="5">
        <v>32.76</v>
      </c>
      <c r="I687" s="5">
        <v>28.41</v>
      </c>
      <c r="J687" s="5">
        <v>62</v>
      </c>
      <c r="K687" s="5" t="s">
        <v>4</v>
      </c>
      <c r="L687" s="5" t="str">
        <f t="shared" si="10"/>
        <v>Delivered</v>
      </c>
      <c r="M687" t="str" cm="1">
        <f t="array" ref="M687">_xlfn.IFS(B687="Alpha_Inc","S001", B687="Delta_Logistics","S002", B687="Gamma_Co","S003", B687="Beta_Supplies","S004", B687="Epsilon_Group","S005")</f>
        <v>S003</v>
      </c>
      <c r="N687" t="str" cm="1">
        <f t="array" ref="N687">_xlfn.IFS(E687="Electronics","P001", E687="MRO","P002", E687="Office Supplies","P003", E687="Packaging","P004", E687="Raw Materials","P005")</f>
        <v>P001</v>
      </c>
    </row>
    <row r="688" spans="1:14" x14ac:dyDescent="0.2">
      <c r="A688" s="1" t="s">
        <v>702</v>
      </c>
      <c r="B688" s="2" t="s">
        <v>12</v>
      </c>
      <c r="C688" s="3">
        <v>44991</v>
      </c>
      <c r="D688" s="3">
        <v>44992</v>
      </c>
      <c r="E688" s="2" t="s">
        <v>13</v>
      </c>
      <c r="F688" s="2" t="s">
        <v>7</v>
      </c>
      <c r="G688" s="2">
        <v>1006</v>
      </c>
      <c r="H688" s="2">
        <v>27.7</v>
      </c>
      <c r="I688" s="2">
        <v>23.66</v>
      </c>
      <c r="J688" s="2">
        <v>101</v>
      </c>
      <c r="K688" s="2" t="s">
        <v>16</v>
      </c>
      <c r="L688" s="2" t="str">
        <f t="shared" si="10"/>
        <v>Delivered</v>
      </c>
      <c r="M688" t="str" cm="1">
        <f t="array" ref="M688">_xlfn.IFS(B688="Alpha_Inc","S001", B688="Delta_Logistics","S002", B688="Gamma_Co","S003", B688="Beta_Supplies","S004", B688="Epsilon_Group","S005")</f>
        <v>S004</v>
      </c>
      <c r="N688" t="str" cm="1">
        <f t="array" ref="N688">_xlfn.IFS(E688="Electronics","P001", E688="MRO","P002", E688="Office Supplies","P003", E688="Packaging","P004", E688="Raw Materials","P005")</f>
        <v>P004</v>
      </c>
    </row>
    <row r="689" spans="1:14" x14ac:dyDescent="0.2">
      <c r="A689" s="4" t="s">
        <v>703</v>
      </c>
      <c r="B689" s="5" t="s">
        <v>12</v>
      </c>
      <c r="C689" s="6">
        <v>45113</v>
      </c>
      <c r="D689" s="6">
        <v>45122</v>
      </c>
      <c r="E689" s="5" t="s">
        <v>28</v>
      </c>
      <c r="F689" s="5" t="s">
        <v>22</v>
      </c>
      <c r="G689" s="5">
        <v>740</v>
      </c>
      <c r="H689" s="5">
        <v>32.53</v>
      </c>
      <c r="I689" s="5">
        <v>29.35</v>
      </c>
      <c r="J689" s="5">
        <v>84</v>
      </c>
      <c r="K689" s="5" t="s">
        <v>4</v>
      </c>
      <c r="L689" s="5" t="str">
        <f t="shared" si="10"/>
        <v>Partially Delivered</v>
      </c>
      <c r="M689" t="str" cm="1">
        <f t="array" ref="M689">_xlfn.IFS(B689="Alpha_Inc","S001", B689="Delta_Logistics","S002", B689="Gamma_Co","S003", B689="Beta_Supplies","S004", B689="Epsilon_Group","S005")</f>
        <v>S004</v>
      </c>
      <c r="N689" t="str" cm="1">
        <f t="array" ref="N689">_xlfn.IFS(E689="Electronics","P001", E689="MRO","P002", E689="Office Supplies","P003", E689="Packaging","P004", E689="Raw Materials","P005")</f>
        <v>P001</v>
      </c>
    </row>
    <row r="690" spans="1:14" x14ac:dyDescent="0.2">
      <c r="A690" s="1" t="s">
        <v>704</v>
      </c>
      <c r="B690" s="2" t="s">
        <v>9</v>
      </c>
      <c r="C690" s="3">
        <v>45121</v>
      </c>
      <c r="D690" s="3">
        <f>Table1[[#This Row],[Order_Date]]+14</f>
        <v>45135</v>
      </c>
      <c r="E690" s="2" t="s">
        <v>15</v>
      </c>
      <c r="F690" s="2" t="s">
        <v>7</v>
      </c>
      <c r="G690" s="2">
        <v>1500</v>
      </c>
      <c r="H690" s="2">
        <v>29.19</v>
      </c>
      <c r="I690" s="2">
        <v>27.24</v>
      </c>
      <c r="J690" s="2">
        <v>72</v>
      </c>
      <c r="K690" s="2" t="s">
        <v>4</v>
      </c>
      <c r="L690" s="2" t="str">
        <f t="shared" si="10"/>
        <v>Delivered</v>
      </c>
      <c r="M690" t="str" cm="1">
        <f t="array" ref="M690">_xlfn.IFS(B690="Alpha_Inc","S001", B690="Delta_Logistics","S002", B690="Gamma_Co","S003", B690="Beta_Supplies","S004", B690="Epsilon_Group","S005")</f>
        <v>S003</v>
      </c>
      <c r="N690" t="str" cm="1">
        <f t="array" ref="N690">_xlfn.IFS(E690="Electronics","P001", E690="MRO","P002", E690="Office Supplies","P003", E690="Packaging","P004", E690="Raw Materials","P005")</f>
        <v>P005</v>
      </c>
    </row>
    <row r="691" spans="1:14" x14ac:dyDescent="0.2">
      <c r="A691" s="4" t="s">
        <v>705</v>
      </c>
      <c r="B691" s="5" t="s">
        <v>6</v>
      </c>
      <c r="C691" s="6">
        <v>45179</v>
      </c>
      <c r="D691" s="6">
        <v>45198</v>
      </c>
      <c r="E691" s="5" t="s">
        <v>2</v>
      </c>
      <c r="F691" s="5" t="s">
        <v>3</v>
      </c>
      <c r="G691" s="5">
        <v>1686</v>
      </c>
      <c r="H691" s="5">
        <v>88.18</v>
      </c>
      <c r="I691" s="5">
        <v>77.150000000000006</v>
      </c>
      <c r="J691" s="5">
        <v>0</v>
      </c>
      <c r="K691" s="5" t="s">
        <v>4</v>
      </c>
      <c r="L691" s="5" t="str">
        <f t="shared" si="10"/>
        <v>Cancelled</v>
      </c>
      <c r="M691" t="str" cm="1">
        <f t="array" ref="M691">_xlfn.IFS(B691="Alpha_Inc","S001", B691="Delta_Logistics","S002", B691="Gamma_Co","S003", B691="Beta_Supplies","S004", B691="Epsilon_Group","S005")</f>
        <v>S002</v>
      </c>
      <c r="N691" t="str" cm="1">
        <f t="array" ref="N691">_xlfn.IFS(E691="Electronics","P001", E691="MRO","P002", E691="Office Supplies","P003", E691="Packaging","P004", E691="Raw Materials","P005")</f>
        <v>P003</v>
      </c>
    </row>
    <row r="692" spans="1:14" x14ac:dyDescent="0.2">
      <c r="A692" s="1" t="s">
        <v>706</v>
      </c>
      <c r="B692" s="2" t="s">
        <v>18</v>
      </c>
      <c r="C692" s="3">
        <v>44787</v>
      </c>
      <c r="D692" s="3">
        <v>44789</v>
      </c>
      <c r="E692" s="2" t="s">
        <v>15</v>
      </c>
      <c r="F692" s="2" t="s">
        <v>3</v>
      </c>
      <c r="G692" s="2">
        <v>1341</v>
      </c>
      <c r="H692" s="2">
        <v>42.96</v>
      </c>
      <c r="I692" s="2">
        <v>41.75</v>
      </c>
      <c r="J692" s="2">
        <v>39</v>
      </c>
      <c r="K692" s="2" t="s">
        <v>4</v>
      </c>
      <c r="L692" s="2" t="str">
        <f t="shared" si="10"/>
        <v>Cancelled</v>
      </c>
      <c r="M692" t="str" cm="1">
        <f t="array" ref="M692">_xlfn.IFS(B692="Alpha_Inc","S001", B692="Delta_Logistics","S002", B692="Gamma_Co","S003", B692="Beta_Supplies","S004", B692="Epsilon_Group","S005")</f>
        <v>S005</v>
      </c>
      <c r="N692" t="str" cm="1">
        <f t="array" ref="N692">_xlfn.IFS(E692="Electronics","P001", E692="MRO","P002", E692="Office Supplies","P003", E692="Packaging","P004", E692="Raw Materials","P005")</f>
        <v>P005</v>
      </c>
    </row>
    <row r="693" spans="1:14" x14ac:dyDescent="0.2">
      <c r="A693" s="4" t="s">
        <v>707</v>
      </c>
      <c r="B693" s="5" t="s">
        <v>1</v>
      </c>
      <c r="C693" s="6">
        <v>45061</v>
      </c>
      <c r="D693" s="6">
        <v>45067</v>
      </c>
      <c r="E693" s="5" t="s">
        <v>10</v>
      </c>
      <c r="F693" s="5" t="s">
        <v>3</v>
      </c>
      <c r="G693" s="5">
        <v>1908</v>
      </c>
      <c r="H693" s="5">
        <v>16.420000000000002</v>
      </c>
      <c r="I693" s="5">
        <v>15.31</v>
      </c>
      <c r="J693" s="5">
        <v>36</v>
      </c>
      <c r="K693" s="5" t="s">
        <v>4</v>
      </c>
      <c r="L693" s="5" t="str">
        <f t="shared" si="10"/>
        <v>Cancelled</v>
      </c>
      <c r="M693" t="str" cm="1">
        <f t="array" ref="M693">_xlfn.IFS(B693="Alpha_Inc","S001", B693="Delta_Logistics","S002", B693="Gamma_Co","S003", B693="Beta_Supplies","S004", B693="Epsilon_Group","S005")</f>
        <v>S001</v>
      </c>
      <c r="N693" t="str" cm="1">
        <f t="array" ref="N693">_xlfn.IFS(E693="Electronics","P001", E693="MRO","P002", E693="Office Supplies","P003", E693="Packaging","P004", E693="Raw Materials","P005")</f>
        <v>P002</v>
      </c>
    </row>
    <row r="694" spans="1:14" x14ac:dyDescent="0.2">
      <c r="A694" s="1" t="s">
        <v>708</v>
      </c>
      <c r="B694" s="2" t="s">
        <v>9</v>
      </c>
      <c r="C694" s="3">
        <v>44786</v>
      </c>
      <c r="D694" s="3">
        <v>44806</v>
      </c>
      <c r="E694" s="2" t="s">
        <v>10</v>
      </c>
      <c r="F694" s="2" t="s">
        <v>22</v>
      </c>
      <c r="G694" s="2">
        <v>1650</v>
      </c>
      <c r="H694" s="2">
        <v>100.62</v>
      </c>
      <c r="I694" s="2">
        <v>90.45</v>
      </c>
      <c r="J694" s="2">
        <v>85</v>
      </c>
      <c r="K694" s="2" t="s">
        <v>4</v>
      </c>
      <c r="L694" s="2" t="str">
        <f t="shared" si="10"/>
        <v>Partially Delivered</v>
      </c>
      <c r="M694" t="str" cm="1">
        <f t="array" ref="M694">_xlfn.IFS(B694="Alpha_Inc","S001", B694="Delta_Logistics","S002", B694="Gamma_Co","S003", B694="Beta_Supplies","S004", B694="Epsilon_Group","S005")</f>
        <v>S003</v>
      </c>
      <c r="N694" t="str" cm="1">
        <f t="array" ref="N694">_xlfn.IFS(E694="Electronics","P001", E694="MRO","P002", E694="Office Supplies","P003", E694="Packaging","P004", E694="Raw Materials","P005")</f>
        <v>P002</v>
      </c>
    </row>
    <row r="695" spans="1:14" x14ac:dyDescent="0.2">
      <c r="A695" s="4" t="s">
        <v>709</v>
      </c>
      <c r="B695" s="5" t="s">
        <v>1</v>
      </c>
      <c r="C695" s="6">
        <v>44841</v>
      </c>
      <c r="D695" s="6">
        <v>44854</v>
      </c>
      <c r="E695" s="5" t="s">
        <v>10</v>
      </c>
      <c r="F695" s="5" t="s">
        <v>7</v>
      </c>
      <c r="G695" s="5">
        <v>1490</v>
      </c>
      <c r="H695" s="5">
        <v>93.57</v>
      </c>
      <c r="I695" s="5">
        <v>81.680000000000007</v>
      </c>
      <c r="J695" s="5">
        <v>29</v>
      </c>
      <c r="K695" s="5" t="s">
        <v>4</v>
      </c>
      <c r="L695" s="5" t="str">
        <f t="shared" si="10"/>
        <v>Delivered</v>
      </c>
      <c r="M695" t="str" cm="1">
        <f t="array" ref="M695">_xlfn.IFS(B695="Alpha_Inc","S001", B695="Delta_Logistics","S002", B695="Gamma_Co","S003", B695="Beta_Supplies","S004", B695="Epsilon_Group","S005")</f>
        <v>S001</v>
      </c>
      <c r="N695" t="str" cm="1">
        <f t="array" ref="N695">_xlfn.IFS(E695="Electronics","P001", E695="MRO","P002", E695="Office Supplies","P003", E695="Packaging","P004", E695="Raw Materials","P005")</f>
        <v>P002</v>
      </c>
    </row>
    <row r="696" spans="1:14" x14ac:dyDescent="0.2">
      <c r="A696" s="1" t="s">
        <v>710</v>
      </c>
      <c r="B696" s="2" t="s">
        <v>6</v>
      </c>
      <c r="C696" s="3">
        <v>45008</v>
      </c>
      <c r="D696" s="3">
        <v>45016</v>
      </c>
      <c r="E696" s="2" t="s">
        <v>15</v>
      </c>
      <c r="F696" s="2" t="s">
        <v>7</v>
      </c>
      <c r="G696" s="2">
        <v>1241</v>
      </c>
      <c r="H696" s="2">
        <v>100.04</v>
      </c>
      <c r="I696" s="2">
        <v>97.56</v>
      </c>
      <c r="J696" s="2">
        <v>187</v>
      </c>
      <c r="K696" s="2" t="s">
        <v>4</v>
      </c>
      <c r="L696" s="2" t="str">
        <f t="shared" si="10"/>
        <v>Delivered</v>
      </c>
      <c r="M696" t="str" cm="1">
        <f t="array" ref="M696">_xlfn.IFS(B696="Alpha_Inc","S001", B696="Delta_Logistics","S002", B696="Gamma_Co","S003", B696="Beta_Supplies","S004", B696="Epsilon_Group","S005")</f>
        <v>S002</v>
      </c>
      <c r="N696" t="str" cm="1">
        <f t="array" ref="N696">_xlfn.IFS(E696="Electronics","P001", E696="MRO","P002", E696="Office Supplies","P003", E696="Packaging","P004", E696="Raw Materials","P005")</f>
        <v>P005</v>
      </c>
    </row>
    <row r="697" spans="1:14" x14ac:dyDescent="0.2">
      <c r="A697" s="4" t="s">
        <v>711</v>
      </c>
      <c r="B697" s="5" t="s">
        <v>12</v>
      </c>
      <c r="C697" s="6">
        <v>45059</v>
      </c>
      <c r="D697" s="6">
        <v>45063</v>
      </c>
      <c r="E697" s="5" t="s">
        <v>10</v>
      </c>
      <c r="F697" s="5" t="s">
        <v>7</v>
      </c>
      <c r="G697" s="5">
        <v>1915</v>
      </c>
      <c r="H697" s="5">
        <v>107.51</v>
      </c>
      <c r="I697" s="5">
        <v>102.66</v>
      </c>
      <c r="J697" s="5">
        <v>184</v>
      </c>
      <c r="K697" s="5" t="s">
        <v>4</v>
      </c>
      <c r="L697" s="5" t="str">
        <f t="shared" si="10"/>
        <v>Delivered</v>
      </c>
      <c r="M697" t="str" cm="1">
        <f t="array" ref="M697">_xlfn.IFS(B697="Alpha_Inc","S001", B697="Delta_Logistics","S002", B697="Gamma_Co","S003", B697="Beta_Supplies","S004", B697="Epsilon_Group","S005")</f>
        <v>S004</v>
      </c>
      <c r="N697" t="str" cm="1">
        <f t="array" ref="N697">_xlfn.IFS(E697="Electronics","P001", E697="MRO","P002", E697="Office Supplies","P003", E697="Packaging","P004", E697="Raw Materials","P005")</f>
        <v>P002</v>
      </c>
    </row>
    <row r="698" spans="1:14" x14ac:dyDescent="0.2">
      <c r="A698" s="1" t="s">
        <v>712</v>
      </c>
      <c r="B698" s="2" t="s">
        <v>12</v>
      </c>
      <c r="C698" s="3">
        <v>44591</v>
      </c>
      <c r="D698" s="3">
        <v>44606</v>
      </c>
      <c r="E698" s="2" t="s">
        <v>15</v>
      </c>
      <c r="F698" s="2" t="s">
        <v>7</v>
      </c>
      <c r="G698" s="2">
        <v>1116</v>
      </c>
      <c r="H698" s="2">
        <v>25.65</v>
      </c>
      <c r="I698" s="2">
        <v>24.28</v>
      </c>
      <c r="J698" s="2">
        <v>121</v>
      </c>
      <c r="K698" s="2" t="s">
        <v>4</v>
      </c>
      <c r="L698" s="2" t="str">
        <f t="shared" si="10"/>
        <v>Delivered</v>
      </c>
      <c r="M698" t="str" cm="1">
        <f t="array" ref="M698">_xlfn.IFS(B698="Alpha_Inc","S001", B698="Delta_Logistics","S002", B698="Gamma_Co","S003", B698="Beta_Supplies","S004", B698="Epsilon_Group","S005")</f>
        <v>S004</v>
      </c>
      <c r="N698" t="str" cm="1">
        <f t="array" ref="N698">_xlfn.IFS(E698="Electronics","P001", E698="MRO","P002", E698="Office Supplies","P003", E698="Packaging","P004", E698="Raw Materials","P005")</f>
        <v>P005</v>
      </c>
    </row>
    <row r="699" spans="1:14" x14ac:dyDescent="0.2">
      <c r="A699" s="4" t="s">
        <v>713</v>
      </c>
      <c r="B699" s="5" t="s">
        <v>6</v>
      </c>
      <c r="C699" s="6">
        <v>44960</v>
      </c>
      <c r="D699" s="6">
        <v>44965</v>
      </c>
      <c r="E699" s="5" t="s">
        <v>15</v>
      </c>
      <c r="F699" s="5" t="s">
        <v>7</v>
      </c>
      <c r="G699" s="5">
        <v>1629</v>
      </c>
      <c r="H699" s="5">
        <v>48.63</v>
      </c>
      <c r="I699" s="5">
        <v>43.28</v>
      </c>
      <c r="J699" s="5">
        <v>260</v>
      </c>
      <c r="K699" s="5" t="s">
        <v>4</v>
      </c>
      <c r="L699" s="5" t="str">
        <f t="shared" si="10"/>
        <v>Delivered</v>
      </c>
      <c r="M699" t="str" cm="1">
        <f t="array" ref="M699">_xlfn.IFS(B699="Alpha_Inc","S001", B699="Delta_Logistics","S002", B699="Gamma_Co","S003", B699="Beta_Supplies","S004", B699="Epsilon_Group","S005")</f>
        <v>S002</v>
      </c>
      <c r="N699" t="str" cm="1">
        <f t="array" ref="N699">_xlfn.IFS(E699="Electronics","P001", E699="MRO","P002", E699="Office Supplies","P003", E699="Packaging","P004", E699="Raw Materials","P005")</f>
        <v>P005</v>
      </c>
    </row>
    <row r="700" spans="1:14" x14ac:dyDescent="0.2">
      <c r="A700" s="1" t="s">
        <v>714</v>
      </c>
      <c r="B700" s="2" t="s">
        <v>18</v>
      </c>
      <c r="C700" s="3">
        <v>44906</v>
      </c>
      <c r="D700" s="3">
        <v>44913</v>
      </c>
      <c r="E700" s="2" t="s">
        <v>2</v>
      </c>
      <c r="F700" s="2" t="s">
        <v>7</v>
      </c>
      <c r="G700" s="2">
        <v>334</v>
      </c>
      <c r="H700" s="2">
        <v>82.54</v>
      </c>
      <c r="I700" s="2">
        <v>74.63</v>
      </c>
      <c r="J700" s="2">
        <v>0</v>
      </c>
      <c r="K700" s="2" t="s">
        <v>4</v>
      </c>
      <c r="L700" s="2" t="str">
        <f t="shared" si="10"/>
        <v>Delivered</v>
      </c>
      <c r="M700" t="str" cm="1">
        <f t="array" ref="M700">_xlfn.IFS(B700="Alpha_Inc","S001", B700="Delta_Logistics","S002", B700="Gamma_Co","S003", B700="Beta_Supplies","S004", B700="Epsilon_Group","S005")</f>
        <v>S005</v>
      </c>
      <c r="N700" t="str" cm="1">
        <f t="array" ref="N700">_xlfn.IFS(E700="Electronics","P001", E700="MRO","P002", E700="Office Supplies","P003", E700="Packaging","P004", E700="Raw Materials","P005")</f>
        <v>P003</v>
      </c>
    </row>
    <row r="701" spans="1:14" x14ac:dyDescent="0.2">
      <c r="A701" s="4" t="s">
        <v>715</v>
      </c>
      <c r="B701" s="5" t="s">
        <v>18</v>
      </c>
      <c r="C701" s="6">
        <v>45246</v>
      </c>
      <c r="D701" s="6">
        <v>45266</v>
      </c>
      <c r="E701" s="5" t="s">
        <v>13</v>
      </c>
      <c r="F701" s="5" t="s">
        <v>7</v>
      </c>
      <c r="G701" s="5">
        <v>446</v>
      </c>
      <c r="H701" s="5">
        <v>80.63</v>
      </c>
      <c r="I701" s="5">
        <v>70.37</v>
      </c>
      <c r="J701" s="5">
        <v>0</v>
      </c>
      <c r="K701" s="5" t="s">
        <v>4</v>
      </c>
      <c r="L701" s="5" t="str">
        <f t="shared" si="10"/>
        <v>Delivered</v>
      </c>
      <c r="M701" t="str" cm="1">
        <f t="array" ref="M701">_xlfn.IFS(B701="Alpha_Inc","S001", B701="Delta_Logistics","S002", B701="Gamma_Co","S003", B701="Beta_Supplies","S004", B701="Epsilon_Group","S005")</f>
        <v>S005</v>
      </c>
      <c r="N701" t="str" cm="1">
        <f t="array" ref="N701">_xlfn.IFS(E701="Electronics","P001", E701="MRO","P002", E701="Office Supplies","P003", E701="Packaging","P004", E701="Raw Materials","P005")</f>
        <v>P004</v>
      </c>
    </row>
    <row r="702" spans="1:14" x14ac:dyDescent="0.2">
      <c r="A702" s="1" t="s">
        <v>716</v>
      </c>
      <c r="B702" s="2" t="s">
        <v>6</v>
      </c>
      <c r="C702" s="3">
        <v>45257</v>
      </c>
      <c r="D702" s="3">
        <f>Table1[[#This Row],[Order_Date]]+14</f>
        <v>45271</v>
      </c>
      <c r="E702" s="2" t="s">
        <v>28</v>
      </c>
      <c r="F702" s="2" t="s">
        <v>7</v>
      </c>
      <c r="G702" s="2">
        <v>61</v>
      </c>
      <c r="H702" s="2">
        <v>26.47</v>
      </c>
      <c r="I702" s="2">
        <v>24.62</v>
      </c>
      <c r="J702" s="2">
        <v>6</v>
      </c>
      <c r="K702" s="2" t="s">
        <v>4</v>
      </c>
      <c r="L702" s="2" t="str">
        <f t="shared" si="10"/>
        <v>Delivered</v>
      </c>
      <c r="M702" t="str" cm="1">
        <f t="array" ref="M702">_xlfn.IFS(B702="Alpha_Inc","S001", B702="Delta_Logistics","S002", B702="Gamma_Co","S003", B702="Beta_Supplies","S004", B702="Epsilon_Group","S005")</f>
        <v>S002</v>
      </c>
      <c r="N702" t="str" cm="1">
        <f t="array" ref="N702">_xlfn.IFS(E702="Electronics","P001", E702="MRO","P002", E702="Office Supplies","P003", E702="Packaging","P004", E702="Raw Materials","P005")</f>
        <v>P001</v>
      </c>
    </row>
    <row r="703" spans="1:14" x14ac:dyDescent="0.2">
      <c r="A703" s="4" t="s">
        <v>717</v>
      </c>
      <c r="B703" s="5" t="s">
        <v>6</v>
      </c>
      <c r="C703" s="6">
        <v>44976</v>
      </c>
      <c r="D703" s="6">
        <v>44978</v>
      </c>
      <c r="E703" s="5" t="s">
        <v>13</v>
      </c>
      <c r="F703" s="5" t="s">
        <v>7</v>
      </c>
      <c r="G703" s="5">
        <v>1680</v>
      </c>
      <c r="H703" s="5">
        <v>88.85</v>
      </c>
      <c r="I703" s="5">
        <v>87.53</v>
      </c>
      <c r="J703" s="5">
        <v>0</v>
      </c>
      <c r="K703" s="5" t="s">
        <v>4</v>
      </c>
      <c r="L703" s="5" t="str">
        <f t="shared" si="10"/>
        <v>Delivered</v>
      </c>
      <c r="M703" t="str" cm="1">
        <f t="array" ref="M703">_xlfn.IFS(B703="Alpha_Inc","S001", B703="Delta_Logistics","S002", B703="Gamma_Co","S003", B703="Beta_Supplies","S004", B703="Epsilon_Group","S005")</f>
        <v>S002</v>
      </c>
      <c r="N703" t="str" cm="1">
        <f t="array" ref="N703">_xlfn.IFS(E703="Electronics","P001", E703="MRO","P002", E703="Office Supplies","P003", E703="Packaging","P004", E703="Raw Materials","P005")</f>
        <v>P004</v>
      </c>
    </row>
    <row r="704" spans="1:14" x14ac:dyDescent="0.2">
      <c r="A704" s="1" t="s">
        <v>718</v>
      </c>
      <c r="B704" s="2" t="s">
        <v>6</v>
      </c>
      <c r="C704" s="3">
        <v>44731</v>
      </c>
      <c r="D704" s="3">
        <v>44748</v>
      </c>
      <c r="E704" s="2" t="s">
        <v>28</v>
      </c>
      <c r="F704" s="2" t="s">
        <v>7</v>
      </c>
      <c r="G704" s="2">
        <v>1375</v>
      </c>
      <c r="H704" s="2">
        <v>30.95</v>
      </c>
      <c r="I704" s="2">
        <v>30.02</v>
      </c>
      <c r="J704" s="2">
        <v>223</v>
      </c>
      <c r="K704" s="2" t="s">
        <v>4</v>
      </c>
      <c r="L704" s="2" t="str">
        <f t="shared" si="10"/>
        <v>Delivered</v>
      </c>
      <c r="M704" t="str" cm="1">
        <f t="array" ref="M704">_xlfn.IFS(B704="Alpha_Inc","S001", B704="Delta_Logistics","S002", B704="Gamma_Co","S003", B704="Beta_Supplies","S004", B704="Epsilon_Group","S005")</f>
        <v>S002</v>
      </c>
      <c r="N704" t="str" cm="1">
        <f t="array" ref="N704">_xlfn.IFS(E704="Electronics","P001", E704="MRO","P002", E704="Office Supplies","P003", E704="Packaging","P004", E704="Raw Materials","P005")</f>
        <v>P001</v>
      </c>
    </row>
    <row r="705" spans="1:14" x14ac:dyDescent="0.2">
      <c r="A705" s="4" t="s">
        <v>719</v>
      </c>
      <c r="B705" s="5" t="s">
        <v>6</v>
      </c>
      <c r="C705" s="6">
        <v>45040</v>
      </c>
      <c r="D705" s="6">
        <v>45051</v>
      </c>
      <c r="E705" s="5" t="s">
        <v>28</v>
      </c>
      <c r="F705" s="5" t="s">
        <v>22</v>
      </c>
      <c r="G705" s="5">
        <v>1971</v>
      </c>
      <c r="H705" s="5">
        <v>32.4</v>
      </c>
      <c r="I705" s="5">
        <v>30.48</v>
      </c>
      <c r="J705" s="5">
        <v>321</v>
      </c>
      <c r="K705" s="5" t="s">
        <v>4</v>
      </c>
      <c r="L705" s="5" t="str">
        <f t="shared" si="10"/>
        <v>Partially Delivered</v>
      </c>
      <c r="M705" t="str" cm="1">
        <f t="array" ref="M705">_xlfn.IFS(B705="Alpha_Inc","S001", B705="Delta_Logistics","S002", B705="Gamma_Co","S003", B705="Beta_Supplies","S004", B705="Epsilon_Group","S005")</f>
        <v>S002</v>
      </c>
      <c r="N705" t="str" cm="1">
        <f t="array" ref="N705">_xlfn.IFS(E705="Electronics","P001", E705="MRO","P002", E705="Office Supplies","P003", E705="Packaging","P004", E705="Raw Materials","P005")</f>
        <v>P001</v>
      </c>
    </row>
    <row r="706" spans="1:14" x14ac:dyDescent="0.2">
      <c r="A706" s="1" t="s">
        <v>720</v>
      </c>
      <c r="B706" s="2" t="s">
        <v>6</v>
      </c>
      <c r="C706" s="3">
        <v>44692</v>
      </c>
      <c r="D706" s="3">
        <f>Table1[[#This Row],[Order_Date]]+14</f>
        <v>44706</v>
      </c>
      <c r="E706" s="2" t="s">
        <v>15</v>
      </c>
      <c r="F706" s="2" t="s">
        <v>24</v>
      </c>
      <c r="G706" s="2">
        <v>1326</v>
      </c>
      <c r="H706" s="2">
        <v>59.49</v>
      </c>
      <c r="I706" s="2">
        <v>56.21</v>
      </c>
      <c r="J706" s="2">
        <v>0</v>
      </c>
      <c r="K706" s="2" t="s">
        <v>4</v>
      </c>
      <c r="L706" s="2" t="str">
        <f t="shared" ref="L706:L769" si="11">IF(F706="Delivered", IF(E706="","Date Missing","Delivered"), F706)</f>
        <v>Pending</v>
      </c>
      <c r="M706" t="str" cm="1">
        <f t="array" ref="M706">_xlfn.IFS(B706="Alpha_Inc","S001", B706="Delta_Logistics","S002", B706="Gamma_Co","S003", B706="Beta_Supplies","S004", B706="Epsilon_Group","S005")</f>
        <v>S002</v>
      </c>
      <c r="N706" t="str" cm="1">
        <f t="array" ref="N706">_xlfn.IFS(E706="Electronics","P001", E706="MRO","P002", E706="Office Supplies","P003", E706="Packaging","P004", E706="Raw Materials","P005")</f>
        <v>P005</v>
      </c>
    </row>
    <row r="707" spans="1:14" x14ac:dyDescent="0.2">
      <c r="A707" s="4" t="s">
        <v>721</v>
      </c>
      <c r="B707" s="5" t="s">
        <v>6</v>
      </c>
      <c r="C707" s="6">
        <v>45199</v>
      </c>
      <c r="D707" s="6">
        <v>45212</v>
      </c>
      <c r="E707" s="5" t="s">
        <v>10</v>
      </c>
      <c r="F707" s="5" t="s">
        <v>3</v>
      </c>
      <c r="G707" s="5">
        <v>548</v>
      </c>
      <c r="H707" s="5">
        <v>69.7</v>
      </c>
      <c r="I707" s="5">
        <v>61.87</v>
      </c>
      <c r="J707" s="5">
        <v>90</v>
      </c>
      <c r="K707" s="5" t="s">
        <v>4</v>
      </c>
      <c r="L707" s="5" t="str">
        <f t="shared" si="11"/>
        <v>Cancelled</v>
      </c>
      <c r="M707" t="str" cm="1">
        <f t="array" ref="M707">_xlfn.IFS(B707="Alpha_Inc","S001", B707="Delta_Logistics","S002", B707="Gamma_Co","S003", B707="Beta_Supplies","S004", B707="Epsilon_Group","S005")</f>
        <v>S002</v>
      </c>
      <c r="N707" t="str" cm="1">
        <f t="array" ref="N707">_xlfn.IFS(E707="Electronics","P001", E707="MRO","P002", E707="Office Supplies","P003", E707="Packaging","P004", E707="Raw Materials","P005")</f>
        <v>P002</v>
      </c>
    </row>
    <row r="708" spans="1:14" x14ac:dyDescent="0.2">
      <c r="A708" s="1" t="s">
        <v>722</v>
      </c>
      <c r="B708" s="2" t="s">
        <v>12</v>
      </c>
      <c r="C708" s="3">
        <v>45108</v>
      </c>
      <c r="D708" s="3">
        <v>45114</v>
      </c>
      <c r="E708" s="2" t="s">
        <v>10</v>
      </c>
      <c r="F708" s="2" t="s">
        <v>7</v>
      </c>
      <c r="G708" s="2">
        <v>803</v>
      </c>
      <c r="H708" s="2">
        <v>67.81</v>
      </c>
      <c r="I708" s="2">
        <v>61.53</v>
      </c>
      <c r="J708" s="2">
        <v>78</v>
      </c>
      <c r="K708" s="2" t="s">
        <v>4</v>
      </c>
      <c r="L708" s="2" t="str">
        <f t="shared" si="11"/>
        <v>Delivered</v>
      </c>
      <c r="M708" t="str" cm="1">
        <f t="array" ref="M708">_xlfn.IFS(B708="Alpha_Inc","S001", B708="Delta_Logistics","S002", B708="Gamma_Co","S003", B708="Beta_Supplies","S004", B708="Epsilon_Group","S005")</f>
        <v>S004</v>
      </c>
      <c r="N708" t="str" cm="1">
        <f t="array" ref="N708">_xlfn.IFS(E708="Electronics","P001", E708="MRO","P002", E708="Office Supplies","P003", E708="Packaging","P004", E708="Raw Materials","P005")</f>
        <v>P002</v>
      </c>
    </row>
    <row r="709" spans="1:14" x14ac:dyDescent="0.2">
      <c r="A709" s="4" t="s">
        <v>723</v>
      </c>
      <c r="B709" s="5" t="s">
        <v>1</v>
      </c>
      <c r="C709" s="6">
        <v>44589</v>
      </c>
      <c r="D709" s="6">
        <v>44607</v>
      </c>
      <c r="E709" s="5" t="s">
        <v>10</v>
      </c>
      <c r="F709" s="5" t="s">
        <v>7</v>
      </c>
      <c r="G709" s="5">
        <v>84</v>
      </c>
      <c r="H709" s="5">
        <v>18.23</v>
      </c>
      <c r="I709" s="5">
        <v>15.55</v>
      </c>
      <c r="J709" s="5">
        <v>0</v>
      </c>
      <c r="K709" s="5" t="s">
        <v>4</v>
      </c>
      <c r="L709" s="5" t="str">
        <f t="shared" si="11"/>
        <v>Delivered</v>
      </c>
      <c r="M709" t="str" cm="1">
        <f t="array" ref="M709">_xlfn.IFS(B709="Alpha_Inc","S001", B709="Delta_Logistics","S002", B709="Gamma_Co","S003", B709="Beta_Supplies","S004", B709="Epsilon_Group","S005")</f>
        <v>S001</v>
      </c>
      <c r="N709" t="str" cm="1">
        <f t="array" ref="N709">_xlfn.IFS(E709="Electronics","P001", E709="MRO","P002", E709="Office Supplies","P003", E709="Packaging","P004", E709="Raw Materials","P005")</f>
        <v>P002</v>
      </c>
    </row>
    <row r="710" spans="1:14" x14ac:dyDescent="0.2">
      <c r="A710" s="1" t="s">
        <v>724</v>
      </c>
      <c r="B710" s="2" t="s">
        <v>18</v>
      </c>
      <c r="C710" s="3">
        <v>44965</v>
      </c>
      <c r="D710" s="3">
        <v>44977</v>
      </c>
      <c r="E710" s="2" t="s">
        <v>13</v>
      </c>
      <c r="F710" s="2" t="s">
        <v>7</v>
      </c>
      <c r="G710" s="2">
        <v>776</v>
      </c>
      <c r="H710" s="2">
        <v>94.75</v>
      </c>
      <c r="I710" s="2">
        <v>90.89</v>
      </c>
      <c r="J710" s="2">
        <v>19</v>
      </c>
      <c r="K710" s="2" t="s">
        <v>4</v>
      </c>
      <c r="L710" s="2" t="str">
        <f t="shared" si="11"/>
        <v>Delivered</v>
      </c>
      <c r="M710" t="str" cm="1">
        <f t="array" ref="M710">_xlfn.IFS(B710="Alpha_Inc","S001", B710="Delta_Logistics","S002", B710="Gamma_Co","S003", B710="Beta_Supplies","S004", B710="Epsilon_Group","S005")</f>
        <v>S005</v>
      </c>
      <c r="N710" t="str" cm="1">
        <f t="array" ref="N710">_xlfn.IFS(E710="Electronics","P001", E710="MRO","P002", E710="Office Supplies","P003", E710="Packaging","P004", E710="Raw Materials","P005")</f>
        <v>P004</v>
      </c>
    </row>
    <row r="711" spans="1:14" x14ac:dyDescent="0.2">
      <c r="A711" s="4" t="s">
        <v>725</v>
      </c>
      <c r="B711" s="5" t="s">
        <v>1</v>
      </c>
      <c r="C711" s="6">
        <v>45168</v>
      </c>
      <c r="D711" s="6">
        <v>45177</v>
      </c>
      <c r="E711" s="5" t="s">
        <v>10</v>
      </c>
      <c r="F711" s="5" t="s">
        <v>7</v>
      </c>
      <c r="G711" s="5">
        <v>898</v>
      </c>
      <c r="H711" s="5">
        <v>37.119999999999997</v>
      </c>
      <c r="I711" s="5">
        <v>35.54</v>
      </c>
      <c r="J711" s="5">
        <v>18</v>
      </c>
      <c r="K711" s="5" t="s">
        <v>16</v>
      </c>
      <c r="L711" s="5" t="str">
        <f t="shared" si="11"/>
        <v>Delivered</v>
      </c>
      <c r="M711" t="str" cm="1">
        <f t="array" ref="M711">_xlfn.IFS(B711="Alpha_Inc","S001", B711="Delta_Logistics","S002", B711="Gamma_Co","S003", B711="Beta_Supplies","S004", B711="Epsilon_Group","S005")</f>
        <v>S001</v>
      </c>
      <c r="N711" t="str" cm="1">
        <f t="array" ref="N711">_xlfn.IFS(E711="Electronics","P001", E711="MRO","P002", E711="Office Supplies","P003", E711="Packaging","P004", E711="Raw Materials","P005")</f>
        <v>P002</v>
      </c>
    </row>
    <row r="712" spans="1:14" x14ac:dyDescent="0.2">
      <c r="A712" s="1" t="s">
        <v>726</v>
      </c>
      <c r="B712" s="2" t="s">
        <v>12</v>
      </c>
      <c r="C712" s="3">
        <v>45139</v>
      </c>
      <c r="D712" s="3">
        <v>45146</v>
      </c>
      <c r="E712" s="2" t="s">
        <v>2</v>
      </c>
      <c r="F712" s="2" t="s">
        <v>3</v>
      </c>
      <c r="G712" s="2">
        <v>139</v>
      </c>
      <c r="H712" s="2">
        <v>23.71</v>
      </c>
      <c r="I712" s="2">
        <v>20.18</v>
      </c>
      <c r="J712" s="2">
        <v>14</v>
      </c>
      <c r="K712" s="2" t="s">
        <v>4</v>
      </c>
      <c r="L712" s="2" t="str">
        <f t="shared" si="11"/>
        <v>Cancelled</v>
      </c>
      <c r="M712" t="str" cm="1">
        <f t="array" ref="M712">_xlfn.IFS(B712="Alpha_Inc","S001", B712="Delta_Logistics","S002", B712="Gamma_Co","S003", B712="Beta_Supplies","S004", B712="Epsilon_Group","S005")</f>
        <v>S004</v>
      </c>
      <c r="N712" t="str" cm="1">
        <f t="array" ref="N712">_xlfn.IFS(E712="Electronics","P001", E712="MRO","P002", E712="Office Supplies","P003", E712="Packaging","P004", E712="Raw Materials","P005")</f>
        <v>P003</v>
      </c>
    </row>
    <row r="713" spans="1:14" x14ac:dyDescent="0.2">
      <c r="A713" s="4" t="s">
        <v>727</v>
      </c>
      <c r="B713" s="5" t="s">
        <v>9</v>
      </c>
      <c r="C713" s="6">
        <v>45240</v>
      </c>
      <c r="D713" s="6">
        <f>Table1[[#This Row],[Order_Date]]+14</f>
        <v>45254</v>
      </c>
      <c r="E713" s="5" t="s">
        <v>15</v>
      </c>
      <c r="F713" s="5" t="s">
        <v>7</v>
      </c>
      <c r="G713" s="5">
        <v>825</v>
      </c>
      <c r="H713" s="5">
        <v>99.89</v>
      </c>
      <c r="I713" s="5">
        <v>97.65</v>
      </c>
      <c r="J713" s="5">
        <v>30</v>
      </c>
      <c r="K713" s="5" t="s">
        <v>4</v>
      </c>
      <c r="L713" s="5" t="str">
        <f t="shared" si="11"/>
        <v>Delivered</v>
      </c>
      <c r="M713" t="str" cm="1">
        <f t="array" ref="M713">_xlfn.IFS(B713="Alpha_Inc","S001", B713="Delta_Logistics","S002", B713="Gamma_Co","S003", B713="Beta_Supplies","S004", B713="Epsilon_Group","S005")</f>
        <v>S003</v>
      </c>
      <c r="N713" t="str" cm="1">
        <f t="array" ref="N713">_xlfn.IFS(E713="Electronics","P001", E713="MRO","P002", E713="Office Supplies","P003", E713="Packaging","P004", E713="Raw Materials","P005")</f>
        <v>P005</v>
      </c>
    </row>
    <row r="714" spans="1:14" x14ac:dyDescent="0.2">
      <c r="A714" s="1" t="s">
        <v>728</v>
      </c>
      <c r="B714" s="2" t="s">
        <v>1</v>
      </c>
      <c r="C714" s="3">
        <v>44589</v>
      </c>
      <c r="D714" s="3">
        <v>44599</v>
      </c>
      <c r="E714" s="2" t="s">
        <v>10</v>
      </c>
      <c r="F714" s="2" t="s">
        <v>7</v>
      </c>
      <c r="G714" s="2">
        <v>654</v>
      </c>
      <c r="H714" s="2">
        <v>96.01</v>
      </c>
      <c r="I714" s="2">
        <v>90.31</v>
      </c>
      <c r="J714" s="2">
        <v>10</v>
      </c>
      <c r="K714" s="2" t="s">
        <v>4</v>
      </c>
      <c r="L714" s="2" t="str">
        <f t="shared" si="11"/>
        <v>Delivered</v>
      </c>
      <c r="M714" t="str" cm="1">
        <f t="array" ref="M714">_xlfn.IFS(B714="Alpha_Inc","S001", B714="Delta_Logistics","S002", B714="Gamma_Co","S003", B714="Beta_Supplies","S004", B714="Epsilon_Group","S005")</f>
        <v>S001</v>
      </c>
      <c r="N714" t="str" cm="1">
        <f t="array" ref="N714">_xlfn.IFS(E714="Electronics","P001", E714="MRO","P002", E714="Office Supplies","P003", E714="Packaging","P004", E714="Raw Materials","P005")</f>
        <v>P002</v>
      </c>
    </row>
    <row r="715" spans="1:14" x14ac:dyDescent="0.2">
      <c r="A715" s="4" t="s">
        <v>729</v>
      </c>
      <c r="B715" s="5" t="s">
        <v>9</v>
      </c>
      <c r="C715" s="6">
        <v>44647</v>
      </c>
      <c r="D715" s="6">
        <v>44657</v>
      </c>
      <c r="E715" s="5" t="s">
        <v>10</v>
      </c>
      <c r="F715" s="5" t="s">
        <v>7</v>
      </c>
      <c r="G715" s="5">
        <v>1995</v>
      </c>
      <c r="H715" s="5">
        <v>88.47</v>
      </c>
      <c r="I715" s="5">
        <v>82.65</v>
      </c>
      <c r="J715" s="5">
        <v>87</v>
      </c>
      <c r="K715" s="5" t="s">
        <v>16</v>
      </c>
      <c r="L715" s="5" t="str">
        <f t="shared" si="11"/>
        <v>Delivered</v>
      </c>
      <c r="M715" t="str" cm="1">
        <f t="array" ref="M715">_xlfn.IFS(B715="Alpha_Inc","S001", B715="Delta_Logistics","S002", B715="Gamma_Co","S003", B715="Beta_Supplies","S004", B715="Epsilon_Group","S005")</f>
        <v>S003</v>
      </c>
      <c r="N715" t="str" cm="1">
        <f t="array" ref="N715">_xlfn.IFS(E715="Electronics","P001", E715="MRO","P002", E715="Office Supplies","P003", E715="Packaging","P004", E715="Raw Materials","P005")</f>
        <v>P002</v>
      </c>
    </row>
    <row r="716" spans="1:14" x14ac:dyDescent="0.2">
      <c r="A716" s="1" t="s">
        <v>730</v>
      </c>
      <c r="B716" s="2" t="s">
        <v>12</v>
      </c>
      <c r="C716" s="3">
        <v>45220</v>
      </c>
      <c r="D716" s="3">
        <v>45227</v>
      </c>
      <c r="E716" s="2" t="s">
        <v>10</v>
      </c>
      <c r="F716" s="2" t="s">
        <v>7</v>
      </c>
      <c r="G716" s="2">
        <v>1019</v>
      </c>
      <c r="H716" s="2">
        <v>91.56</v>
      </c>
      <c r="I716" s="2">
        <v>77.930000000000007</v>
      </c>
      <c r="J716" s="2">
        <v>111</v>
      </c>
      <c r="K716" s="2" t="s">
        <v>16</v>
      </c>
      <c r="L716" s="2" t="str">
        <f t="shared" si="11"/>
        <v>Delivered</v>
      </c>
      <c r="M716" t="str" cm="1">
        <f t="array" ref="M716">_xlfn.IFS(B716="Alpha_Inc","S001", B716="Delta_Logistics","S002", B716="Gamma_Co","S003", B716="Beta_Supplies","S004", B716="Epsilon_Group","S005")</f>
        <v>S004</v>
      </c>
      <c r="N716" t="str" cm="1">
        <f t="array" ref="N716">_xlfn.IFS(E716="Electronics","P001", E716="MRO","P002", E716="Office Supplies","P003", E716="Packaging","P004", E716="Raw Materials","P005")</f>
        <v>P002</v>
      </c>
    </row>
    <row r="717" spans="1:14" x14ac:dyDescent="0.2">
      <c r="A717" s="4" t="s">
        <v>731</v>
      </c>
      <c r="B717" s="5" t="s">
        <v>18</v>
      </c>
      <c r="C717" s="6">
        <v>45000</v>
      </c>
      <c r="D717" s="6">
        <v>45016</v>
      </c>
      <c r="E717" s="5" t="s">
        <v>13</v>
      </c>
      <c r="F717" s="5" t="s">
        <v>24</v>
      </c>
      <c r="G717" s="5">
        <v>1675</v>
      </c>
      <c r="H717" s="5">
        <v>73.8</v>
      </c>
      <c r="I717" s="5">
        <v>65.34</v>
      </c>
      <c r="J717" s="5">
        <v>42</v>
      </c>
      <c r="K717" s="5" t="s">
        <v>4</v>
      </c>
      <c r="L717" s="5" t="str">
        <f t="shared" si="11"/>
        <v>Pending</v>
      </c>
      <c r="M717" t="str" cm="1">
        <f t="array" ref="M717">_xlfn.IFS(B717="Alpha_Inc","S001", B717="Delta_Logistics","S002", B717="Gamma_Co","S003", B717="Beta_Supplies","S004", B717="Epsilon_Group","S005")</f>
        <v>S005</v>
      </c>
      <c r="N717" t="str" cm="1">
        <f t="array" ref="N717">_xlfn.IFS(E717="Electronics","P001", E717="MRO","P002", E717="Office Supplies","P003", E717="Packaging","P004", E717="Raw Materials","P005")</f>
        <v>P004</v>
      </c>
    </row>
    <row r="718" spans="1:14" x14ac:dyDescent="0.2">
      <c r="A718" s="1" t="s">
        <v>732</v>
      </c>
      <c r="B718" s="2" t="s">
        <v>9</v>
      </c>
      <c r="C718" s="3">
        <v>44700</v>
      </c>
      <c r="D718" s="3">
        <v>44712</v>
      </c>
      <c r="E718" s="2" t="s">
        <v>15</v>
      </c>
      <c r="F718" s="2" t="s">
        <v>24</v>
      </c>
      <c r="G718" s="2">
        <v>1071</v>
      </c>
      <c r="H718" s="2">
        <v>60.77</v>
      </c>
      <c r="I718" s="2">
        <v>58.5</v>
      </c>
      <c r="J718" s="2">
        <v>0</v>
      </c>
      <c r="K718" s="2" t="s">
        <v>4</v>
      </c>
      <c r="L718" s="2" t="str">
        <f t="shared" si="11"/>
        <v>Pending</v>
      </c>
      <c r="M718" t="str" cm="1">
        <f t="array" ref="M718">_xlfn.IFS(B718="Alpha_Inc","S001", B718="Delta_Logistics","S002", B718="Gamma_Co","S003", B718="Beta_Supplies","S004", B718="Epsilon_Group","S005")</f>
        <v>S003</v>
      </c>
      <c r="N718" t="str" cm="1">
        <f t="array" ref="N718">_xlfn.IFS(E718="Electronics","P001", E718="MRO","P002", E718="Office Supplies","P003", E718="Packaging","P004", E718="Raw Materials","P005")</f>
        <v>P005</v>
      </c>
    </row>
    <row r="719" spans="1:14" x14ac:dyDescent="0.2">
      <c r="A719" s="4" t="s">
        <v>733</v>
      </c>
      <c r="B719" s="5" t="s">
        <v>12</v>
      </c>
      <c r="C719" s="6">
        <v>45034</v>
      </c>
      <c r="D719" s="6">
        <v>45043</v>
      </c>
      <c r="E719" s="5" t="s">
        <v>2</v>
      </c>
      <c r="F719" s="5" t="s">
        <v>7</v>
      </c>
      <c r="G719" s="5">
        <v>467</v>
      </c>
      <c r="H719" s="5">
        <v>19.170000000000002</v>
      </c>
      <c r="I719" s="5">
        <v>17.11</v>
      </c>
      <c r="J719" s="5">
        <v>49</v>
      </c>
      <c r="K719" s="5" t="s">
        <v>4</v>
      </c>
      <c r="L719" s="5" t="str">
        <f t="shared" si="11"/>
        <v>Delivered</v>
      </c>
      <c r="M719" t="str" cm="1">
        <f t="array" ref="M719">_xlfn.IFS(B719="Alpha_Inc","S001", B719="Delta_Logistics","S002", B719="Gamma_Co","S003", B719="Beta_Supplies","S004", B719="Epsilon_Group","S005")</f>
        <v>S004</v>
      </c>
      <c r="N719" t="str" cm="1">
        <f t="array" ref="N719">_xlfn.IFS(E719="Electronics","P001", E719="MRO","P002", E719="Office Supplies","P003", E719="Packaging","P004", E719="Raw Materials","P005")</f>
        <v>P003</v>
      </c>
    </row>
    <row r="720" spans="1:14" x14ac:dyDescent="0.2">
      <c r="A720" s="1" t="s">
        <v>734</v>
      </c>
      <c r="B720" s="2" t="s">
        <v>6</v>
      </c>
      <c r="C720" s="3">
        <v>44748</v>
      </c>
      <c r="D720" s="3">
        <v>44767</v>
      </c>
      <c r="E720" s="2" t="s">
        <v>10</v>
      </c>
      <c r="F720" s="2" t="s">
        <v>24</v>
      </c>
      <c r="G720" s="2">
        <v>164</v>
      </c>
      <c r="H720" s="2">
        <v>48.16</v>
      </c>
      <c r="I720" s="2">
        <v>47.46</v>
      </c>
      <c r="J720" s="2">
        <v>27</v>
      </c>
      <c r="K720" s="2" t="s">
        <v>4</v>
      </c>
      <c r="L720" s="2" t="str">
        <f t="shared" si="11"/>
        <v>Pending</v>
      </c>
      <c r="M720" t="str" cm="1">
        <f t="array" ref="M720">_xlfn.IFS(B720="Alpha_Inc","S001", B720="Delta_Logistics","S002", B720="Gamma_Co","S003", B720="Beta_Supplies","S004", B720="Epsilon_Group","S005")</f>
        <v>S002</v>
      </c>
      <c r="N720" t="str" cm="1">
        <f t="array" ref="N720">_xlfn.IFS(E720="Electronics","P001", E720="MRO","P002", E720="Office Supplies","P003", E720="Packaging","P004", E720="Raw Materials","P005")</f>
        <v>P002</v>
      </c>
    </row>
    <row r="721" spans="1:14" x14ac:dyDescent="0.2">
      <c r="A721" s="4" t="s">
        <v>735</v>
      </c>
      <c r="B721" s="5" t="s">
        <v>18</v>
      </c>
      <c r="C721" s="6">
        <v>44613</v>
      </c>
      <c r="D721" s="6">
        <v>44626</v>
      </c>
      <c r="E721" s="5" t="s">
        <v>28</v>
      </c>
      <c r="F721" s="5" t="s">
        <v>3</v>
      </c>
      <c r="G721" s="5">
        <v>666</v>
      </c>
      <c r="H721" s="5">
        <v>43.76</v>
      </c>
      <c r="I721" s="5">
        <v>41.13</v>
      </c>
      <c r="J721" s="5">
        <v>18</v>
      </c>
      <c r="K721" s="5" t="s">
        <v>4</v>
      </c>
      <c r="L721" s="5" t="str">
        <f t="shared" si="11"/>
        <v>Cancelled</v>
      </c>
      <c r="M721" t="str" cm="1">
        <f t="array" ref="M721">_xlfn.IFS(B721="Alpha_Inc","S001", B721="Delta_Logistics","S002", B721="Gamma_Co","S003", B721="Beta_Supplies","S004", B721="Epsilon_Group","S005")</f>
        <v>S005</v>
      </c>
      <c r="N721" t="str" cm="1">
        <f t="array" ref="N721">_xlfn.IFS(E721="Electronics","P001", E721="MRO","P002", E721="Office Supplies","P003", E721="Packaging","P004", E721="Raw Materials","P005")</f>
        <v>P001</v>
      </c>
    </row>
    <row r="722" spans="1:14" x14ac:dyDescent="0.2">
      <c r="A722" s="1" t="s">
        <v>736</v>
      </c>
      <c r="B722" s="2" t="s">
        <v>6</v>
      </c>
      <c r="C722" s="3">
        <v>44828</v>
      </c>
      <c r="D722" s="3">
        <v>44841</v>
      </c>
      <c r="E722" s="2" t="s">
        <v>13</v>
      </c>
      <c r="F722" s="2" t="s">
        <v>22</v>
      </c>
      <c r="G722" s="2">
        <v>1976</v>
      </c>
      <c r="H722" s="2">
        <v>34.71</v>
      </c>
      <c r="I722" s="2">
        <v>31.56</v>
      </c>
      <c r="J722" s="2">
        <v>286</v>
      </c>
      <c r="K722" s="2" t="s">
        <v>16</v>
      </c>
      <c r="L722" s="2" t="str">
        <f t="shared" si="11"/>
        <v>Partially Delivered</v>
      </c>
      <c r="M722" t="str" cm="1">
        <f t="array" ref="M722">_xlfn.IFS(B722="Alpha_Inc","S001", B722="Delta_Logistics","S002", B722="Gamma_Co","S003", B722="Beta_Supplies","S004", B722="Epsilon_Group","S005")</f>
        <v>S002</v>
      </c>
      <c r="N722" t="str" cm="1">
        <f t="array" ref="N722">_xlfn.IFS(E722="Electronics","P001", E722="MRO","P002", E722="Office Supplies","P003", E722="Packaging","P004", E722="Raw Materials","P005")</f>
        <v>P004</v>
      </c>
    </row>
    <row r="723" spans="1:14" x14ac:dyDescent="0.2">
      <c r="A723" s="4" t="s">
        <v>737</v>
      </c>
      <c r="B723" s="5" t="s">
        <v>18</v>
      </c>
      <c r="C723" s="6">
        <v>44950</v>
      </c>
      <c r="D723" s="6">
        <v>44955</v>
      </c>
      <c r="E723" s="5" t="s">
        <v>10</v>
      </c>
      <c r="F723" s="5" t="s">
        <v>7</v>
      </c>
      <c r="G723" s="5">
        <v>1269</v>
      </c>
      <c r="H723" s="5">
        <v>79.61</v>
      </c>
      <c r="I723" s="5">
        <v>71.86</v>
      </c>
      <c r="J723" s="5">
        <v>47</v>
      </c>
      <c r="K723" s="5" t="s">
        <v>4</v>
      </c>
      <c r="L723" s="5" t="str">
        <f t="shared" si="11"/>
        <v>Delivered</v>
      </c>
      <c r="M723" t="str" cm="1">
        <f t="array" ref="M723">_xlfn.IFS(B723="Alpha_Inc","S001", B723="Delta_Logistics","S002", B723="Gamma_Co","S003", B723="Beta_Supplies","S004", B723="Epsilon_Group","S005")</f>
        <v>S005</v>
      </c>
      <c r="N723" t="str" cm="1">
        <f t="array" ref="N723">_xlfn.IFS(E723="Electronics","P001", E723="MRO","P002", E723="Office Supplies","P003", E723="Packaging","P004", E723="Raw Materials","P005")</f>
        <v>P002</v>
      </c>
    </row>
    <row r="724" spans="1:14" x14ac:dyDescent="0.2">
      <c r="A724" s="1" t="s">
        <v>738</v>
      </c>
      <c r="B724" s="2" t="s">
        <v>18</v>
      </c>
      <c r="C724" s="3">
        <v>44897</v>
      </c>
      <c r="D724" s="3">
        <v>44907</v>
      </c>
      <c r="E724" s="2" t="s">
        <v>10</v>
      </c>
      <c r="F724" s="2" t="s">
        <v>7</v>
      </c>
      <c r="G724" s="2">
        <v>875</v>
      </c>
      <c r="H724" s="2">
        <v>57.63</v>
      </c>
      <c r="I724" s="2">
        <v>51.8</v>
      </c>
      <c r="J724" s="2">
        <v>16</v>
      </c>
      <c r="K724" s="2" t="s">
        <v>4</v>
      </c>
      <c r="L724" s="2" t="str">
        <f t="shared" si="11"/>
        <v>Delivered</v>
      </c>
      <c r="M724" t="str" cm="1">
        <f t="array" ref="M724">_xlfn.IFS(B724="Alpha_Inc","S001", B724="Delta_Logistics","S002", B724="Gamma_Co","S003", B724="Beta_Supplies","S004", B724="Epsilon_Group","S005")</f>
        <v>S005</v>
      </c>
      <c r="N724" t="str" cm="1">
        <f t="array" ref="N724">_xlfn.IFS(E724="Electronics","P001", E724="MRO","P002", E724="Office Supplies","P003", E724="Packaging","P004", E724="Raw Materials","P005")</f>
        <v>P002</v>
      </c>
    </row>
    <row r="725" spans="1:14" x14ac:dyDescent="0.2">
      <c r="A725" s="4" t="s">
        <v>739</v>
      </c>
      <c r="B725" s="5" t="s">
        <v>1</v>
      </c>
      <c r="C725" s="6">
        <v>44778</v>
      </c>
      <c r="D725" s="6">
        <f>Table1[[#This Row],[Order_Date]]+14</f>
        <v>44792</v>
      </c>
      <c r="E725" s="5" t="s">
        <v>13</v>
      </c>
      <c r="F725" s="5" t="s">
        <v>22</v>
      </c>
      <c r="G725" s="5">
        <v>1574</v>
      </c>
      <c r="H725" s="5">
        <v>17.899999999999999</v>
      </c>
      <c r="I725" s="5">
        <v>15.85</v>
      </c>
      <c r="J725" s="5">
        <v>31</v>
      </c>
      <c r="K725" s="5" t="s">
        <v>4</v>
      </c>
      <c r="L725" s="5" t="str">
        <f t="shared" si="11"/>
        <v>Partially Delivered</v>
      </c>
      <c r="M725" t="str" cm="1">
        <f t="array" ref="M725">_xlfn.IFS(B725="Alpha_Inc","S001", B725="Delta_Logistics","S002", B725="Gamma_Co","S003", B725="Beta_Supplies","S004", B725="Epsilon_Group","S005")</f>
        <v>S001</v>
      </c>
      <c r="N725" t="str" cm="1">
        <f t="array" ref="N725">_xlfn.IFS(E725="Electronics","P001", E725="MRO","P002", E725="Office Supplies","P003", E725="Packaging","P004", E725="Raw Materials","P005")</f>
        <v>P004</v>
      </c>
    </row>
    <row r="726" spans="1:14" x14ac:dyDescent="0.2">
      <c r="A726" s="1" t="s">
        <v>740</v>
      </c>
      <c r="B726" s="2" t="s">
        <v>18</v>
      </c>
      <c r="C726" s="3">
        <v>45027</v>
      </c>
      <c r="D726" s="3">
        <v>45042</v>
      </c>
      <c r="E726" s="2" t="s">
        <v>2</v>
      </c>
      <c r="F726" s="2" t="s">
        <v>22</v>
      </c>
      <c r="G726" s="2">
        <v>1699</v>
      </c>
      <c r="H726" s="2">
        <v>32.049999999999997</v>
      </c>
      <c r="I726" s="2">
        <v>29.34</v>
      </c>
      <c r="J726" s="2">
        <v>69</v>
      </c>
      <c r="K726" s="2" t="s">
        <v>4</v>
      </c>
      <c r="L726" s="2" t="str">
        <f t="shared" si="11"/>
        <v>Partially Delivered</v>
      </c>
      <c r="M726" t="str" cm="1">
        <f t="array" ref="M726">_xlfn.IFS(B726="Alpha_Inc","S001", B726="Delta_Logistics","S002", B726="Gamma_Co","S003", B726="Beta_Supplies","S004", B726="Epsilon_Group","S005")</f>
        <v>S005</v>
      </c>
      <c r="N726" t="str" cm="1">
        <f t="array" ref="N726">_xlfn.IFS(E726="Electronics","P001", E726="MRO","P002", E726="Office Supplies","P003", E726="Packaging","P004", E726="Raw Materials","P005")</f>
        <v>P003</v>
      </c>
    </row>
    <row r="727" spans="1:14" x14ac:dyDescent="0.2">
      <c r="A727" s="4" t="s">
        <v>741</v>
      </c>
      <c r="B727" s="5" t="s">
        <v>1</v>
      </c>
      <c r="C727" s="6">
        <v>44896</v>
      </c>
      <c r="D727" s="6">
        <v>44912</v>
      </c>
      <c r="E727" s="5" t="s">
        <v>28</v>
      </c>
      <c r="F727" s="5" t="s">
        <v>7</v>
      </c>
      <c r="G727" s="5">
        <v>1566</v>
      </c>
      <c r="H727" s="5">
        <v>75.430000000000007</v>
      </c>
      <c r="I727" s="5">
        <v>71.27</v>
      </c>
      <c r="J727" s="5">
        <v>27</v>
      </c>
      <c r="K727" s="5" t="s">
        <v>4</v>
      </c>
      <c r="L727" s="5" t="str">
        <f t="shared" si="11"/>
        <v>Delivered</v>
      </c>
      <c r="M727" t="str" cm="1">
        <f t="array" ref="M727">_xlfn.IFS(B727="Alpha_Inc","S001", B727="Delta_Logistics","S002", B727="Gamma_Co","S003", B727="Beta_Supplies","S004", B727="Epsilon_Group","S005")</f>
        <v>S001</v>
      </c>
      <c r="N727" t="str" cm="1">
        <f t="array" ref="N727">_xlfn.IFS(E727="Electronics","P001", E727="MRO","P002", E727="Office Supplies","P003", E727="Packaging","P004", E727="Raw Materials","P005")</f>
        <v>P001</v>
      </c>
    </row>
    <row r="728" spans="1:14" x14ac:dyDescent="0.2">
      <c r="A728" s="1" t="s">
        <v>742</v>
      </c>
      <c r="B728" s="2" t="s">
        <v>9</v>
      </c>
      <c r="C728" s="3">
        <v>44907</v>
      </c>
      <c r="D728" s="3">
        <v>44925</v>
      </c>
      <c r="E728" s="2" t="s">
        <v>28</v>
      </c>
      <c r="F728" s="2" t="s">
        <v>7</v>
      </c>
      <c r="G728" s="2">
        <v>1148</v>
      </c>
      <c r="H728" s="2">
        <v>17.78</v>
      </c>
      <c r="I728" s="2">
        <v>17.16</v>
      </c>
      <c r="J728" s="2">
        <v>61</v>
      </c>
      <c r="K728" s="2" t="s">
        <v>4</v>
      </c>
      <c r="L728" s="2" t="str">
        <f t="shared" si="11"/>
        <v>Delivered</v>
      </c>
      <c r="M728" t="str" cm="1">
        <f t="array" ref="M728">_xlfn.IFS(B728="Alpha_Inc","S001", B728="Delta_Logistics","S002", B728="Gamma_Co","S003", B728="Beta_Supplies","S004", B728="Epsilon_Group","S005")</f>
        <v>S003</v>
      </c>
      <c r="N728" t="str" cm="1">
        <f t="array" ref="N728">_xlfn.IFS(E728="Electronics","P001", E728="MRO","P002", E728="Office Supplies","P003", E728="Packaging","P004", E728="Raw Materials","P005")</f>
        <v>P001</v>
      </c>
    </row>
    <row r="729" spans="1:14" x14ac:dyDescent="0.2">
      <c r="A729" s="4" t="s">
        <v>743</v>
      </c>
      <c r="B729" s="5" t="s">
        <v>18</v>
      </c>
      <c r="C729" s="6">
        <v>44950</v>
      </c>
      <c r="D729" s="6">
        <v>44968</v>
      </c>
      <c r="E729" s="5" t="s">
        <v>2</v>
      </c>
      <c r="F729" s="5" t="s">
        <v>7</v>
      </c>
      <c r="G729" s="5">
        <v>462</v>
      </c>
      <c r="H729" s="5">
        <v>91.81</v>
      </c>
      <c r="I729" s="5">
        <v>83.14</v>
      </c>
      <c r="J729" s="5">
        <v>11</v>
      </c>
      <c r="K729" s="5" t="s">
        <v>4</v>
      </c>
      <c r="L729" s="5" t="str">
        <f t="shared" si="11"/>
        <v>Delivered</v>
      </c>
      <c r="M729" t="str" cm="1">
        <f t="array" ref="M729">_xlfn.IFS(B729="Alpha_Inc","S001", B729="Delta_Logistics","S002", B729="Gamma_Co","S003", B729="Beta_Supplies","S004", B729="Epsilon_Group","S005")</f>
        <v>S005</v>
      </c>
      <c r="N729" t="str" cm="1">
        <f t="array" ref="N729">_xlfn.IFS(E729="Electronics","P001", E729="MRO","P002", E729="Office Supplies","P003", E729="Packaging","P004", E729="Raw Materials","P005")</f>
        <v>P003</v>
      </c>
    </row>
    <row r="730" spans="1:14" x14ac:dyDescent="0.2">
      <c r="A730" s="1" t="s">
        <v>744</v>
      </c>
      <c r="B730" s="2" t="s">
        <v>9</v>
      </c>
      <c r="C730" s="3">
        <v>44846</v>
      </c>
      <c r="D730" s="3">
        <v>44851</v>
      </c>
      <c r="E730" s="2" t="s">
        <v>13</v>
      </c>
      <c r="F730" s="2" t="s">
        <v>7</v>
      </c>
      <c r="G730" s="2">
        <v>1449</v>
      </c>
      <c r="H730" s="2">
        <v>57.02</v>
      </c>
      <c r="I730" s="2">
        <v>49.28</v>
      </c>
      <c r="J730" s="2">
        <v>71</v>
      </c>
      <c r="K730" s="2" t="s">
        <v>4</v>
      </c>
      <c r="L730" s="2" t="str">
        <f t="shared" si="11"/>
        <v>Delivered</v>
      </c>
      <c r="M730" t="str" cm="1">
        <f t="array" ref="M730">_xlfn.IFS(B730="Alpha_Inc","S001", B730="Delta_Logistics","S002", B730="Gamma_Co","S003", B730="Beta_Supplies","S004", B730="Epsilon_Group","S005")</f>
        <v>S003</v>
      </c>
      <c r="N730" t="str" cm="1">
        <f t="array" ref="N730">_xlfn.IFS(E730="Electronics","P001", E730="MRO","P002", E730="Office Supplies","P003", E730="Packaging","P004", E730="Raw Materials","P005")</f>
        <v>P004</v>
      </c>
    </row>
    <row r="731" spans="1:14" x14ac:dyDescent="0.2">
      <c r="A731" s="4" t="s">
        <v>745</v>
      </c>
      <c r="B731" s="5" t="s">
        <v>18</v>
      </c>
      <c r="C731" s="6">
        <v>44993</v>
      </c>
      <c r="D731" s="6">
        <v>45012</v>
      </c>
      <c r="E731" s="5" t="s">
        <v>10</v>
      </c>
      <c r="F731" s="5" t="s">
        <v>7</v>
      </c>
      <c r="G731" s="5">
        <v>1493</v>
      </c>
      <c r="H731" s="5">
        <v>56.98</v>
      </c>
      <c r="I731" s="5">
        <v>52.51</v>
      </c>
      <c r="J731" s="5">
        <v>43</v>
      </c>
      <c r="K731" s="5" t="s">
        <v>4</v>
      </c>
      <c r="L731" s="5" t="str">
        <f t="shared" si="11"/>
        <v>Delivered</v>
      </c>
      <c r="M731" t="str" cm="1">
        <f t="array" ref="M731">_xlfn.IFS(B731="Alpha_Inc","S001", B731="Delta_Logistics","S002", B731="Gamma_Co","S003", B731="Beta_Supplies","S004", B731="Epsilon_Group","S005")</f>
        <v>S005</v>
      </c>
      <c r="N731" t="str" cm="1">
        <f t="array" ref="N731">_xlfn.IFS(E731="Electronics","P001", E731="MRO","P002", E731="Office Supplies","P003", E731="Packaging","P004", E731="Raw Materials","P005")</f>
        <v>P002</v>
      </c>
    </row>
    <row r="732" spans="1:14" x14ac:dyDescent="0.2">
      <c r="A732" s="1" t="s">
        <v>746</v>
      </c>
      <c r="B732" s="2" t="s">
        <v>1</v>
      </c>
      <c r="C732" s="3">
        <v>44820</v>
      </c>
      <c r="D732" s="3">
        <v>44822</v>
      </c>
      <c r="E732" s="2" t="s">
        <v>2</v>
      </c>
      <c r="F732" s="2" t="s">
        <v>7</v>
      </c>
      <c r="G732" s="2">
        <v>778</v>
      </c>
      <c r="H732" s="2">
        <v>65.849999999999994</v>
      </c>
      <c r="I732" s="2">
        <v>62.08</v>
      </c>
      <c r="J732" s="2">
        <v>0</v>
      </c>
      <c r="K732" s="2" t="s">
        <v>16</v>
      </c>
      <c r="L732" s="2" t="str">
        <f t="shared" si="11"/>
        <v>Delivered</v>
      </c>
      <c r="M732" t="str" cm="1">
        <f t="array" ref="M732">_xlfn.IFS(B732="Alpha_Inc","S001", B732="Delta_Logistics","S002", B732="Gamma_Co","S003", B732="Beta_Supplies","S004", B732="Epsilon_Group","S005")</f>
        <v>S001</v>
      </c>
      <c r="N732" t="str" cm="1">
        <f t="array" ref="N732">_xlfn.IFS(E732="Electronics","P001", E732="MRO","P002", E732="Office Supplies","P003", E732="Packaging","P004", E732="Raw Materials","P005")</f>
        <v>P003</v>
      </c>
    </row>
    <row r="733" spans="1:14" x14ac:dyDescent="0.2">
      <c r="A733" s="4" t="s">
        <v>747</v>
      </c>
      <c r="B733" s="5" t="s">
        <v>6</v>
      </c>
      <c r="C733" s="6">
        <v>44645</v>
      </c>
      <c r="D733" s="6">
        <v>44662</v>
      </c>
      <c r="E733" s="5" t="s">
        <v>13</v>
      </c>
      <c r="F733" s="5" t="s">
        <v>22</v>
      </c>
      <c r="G733" s="5">
        <v>1350</v>
      </c>
      <c r="H733" s="5">
        <v>85.06</v>
      </c>
      <c r="I733" s="5">
        <v>82.34</v>
      </c>
      <c r="J733" s="5">
        <v>0</v>
      </c>
      <c r="K733" s="5" t="s">
        <v>16</v>
      </c>
      <c r="L733" s="5" t="str">
        <f t="shared" si="11"/>
        <v>Partially Delivered</v>
      </c>
      <c r="M733" t="str" cm="1">
        <f t="array" ref="M733">_xlfn.IFS(B733="Alpha_Inc","S001", B733="Delta_Logistics","S002", B733="Gamma_Co","S003", B733="Beta_Supplies","S004", B733="Epsilon_Group","S005")</f>
        <v>S002</v>
      </c>
      <c r="N733" t="str" cm="1">
        <f t="array" ref="N733">_xlfn.IFS(E733="Electronics","P001", E733="MRO","P002", E733="Office Supplies","P003", E733="Packaging","P004", E733="Raw Materials","P005")</f>
        <v>P004</v>
      </c>
    </row>
    <row r="734" spans="1:14" x14ac:dyDescent="0.2">
      <c r="A734" s="1" t="s">
        <v>748</v>
      </c>
      <c r="B734" s="2" t="s">
        <v>18</v>
      </c>
      <c r="C734" s="3">
        <v>45043</v>
      </c>
      <c r="D734" s="3">
        <v>45051</v>
      </c>
      <c r="E734" s="2" t="s">
        <v>13</v>
      </c>
      <c r="F734" s="2" t="s">
        <v>7</v>
      </c>
      <c r="G734" s="2">
        <v>1070</v>
      </c>
      <c r="H734" s="2">
        <v>44.4</v>
      </c>
      <c r="I734" s="2">
        <v>40.07</v>
      </c>
      <c r="J734" s="2">
        <v>26</v>
      </c>
      <c r="K734" s="2" t="s">
        <v>4</v>
      </c>
      <c r="L734" s="2" t="str">
        <f t="shared" si="11"/>
        <v>Delivered</v>
      </c>
      <c r="M734" t="str" cm="1">
        <f t="array" ref="M734">_xlfn.IFS(B734="Alpha_Inc","S001", B734="Delta_Logistics","S002", B734="Gamma_Co","S003", B734="Beta_Supplies","S004", B734="Epsilon_Group","S005")</f>
        <v>S005</v>
      </c>
      <c r="N734" t="str" cm="1">
        <f t="array" ref="N734">_xlfn.IFS(E734="Electronics","P001", E734="MRO","P002", E734="Office Supplies","P003", E734="Packaging","P004", E734="Raw Materials","P005")</f>
        <v>P004</v>
      </c>
    </row>
    <row r="735" spans="1:14" x14ac:dyDescent="0.2">
      <c r="A735" s="4" t="s">
        <v>749</v>
      </c>
      <c r="B735" s="5" t="s">
        <v>12</v>
      </c>
      <c r="C735" s="6">
        <v>44581</v>
      </c>
      <c r="D735" s="6">
        <v>44595</v>
      </c>
      <c r="E735" s="5" t="s">
        <v>13</v>
      </c>
      <c r="F735" s="5" t="s">
        <v>24</v>
      </c>
      <c r="G735" s="5">
        <v>810</v>
      </c>
      <c r="H735" s="5">
        <v>71.02</v>
      </c>
      <c r="I735" s="5">
        <v>66.8</v>
      </c>
      <c r="J735" s="5">
        <v>73</v>
      </c>
      <c r="K735" s="5" t="s">
        <v>4</v>
      </c>
      <c r="L735" s="5" t="str">
        <f t="shared" si="11"/>
        <v>Pending</v>
      </c>
      <c r="M735" t="str" cm="1">
        <f t="array" ref="M735">_xlfn.IFS(B735="Alpha_Inc","S001", B735="Delta_Logistics","S002", B735="Gamma_Co","S003", B735="Beta_Supplies","S004", B735="Epsilon_Group","S005")</f>
        <v>S004</v>
      </c>
      <c r="N735" t="str" cm="1">
        <f t="array" ref="N735">_xlfn.IFS(E735="Electronics","P001", E735="MRO","P002", E735="Office Supplies","P003", E735="Packaging","P004", E735="Raw Materials","P005")</f>
        <v>P004</v>
      </c>
    </row>
    <row r="736" spans="1:14" x14ac:dyDescent="0.2">
      <c r="A736" s="1" t="s">
        <v>750</v>
      </c>
      <c r="B736" s="2" t="s">
        <v>6</v>
      </c>
      <c r="C736" s="3">
        <v>45114</v>
      </c>
      <c r="D736" s="3">
        <v>45130</v>
      </c>
      <c r="E736" s="2" t="s">
        <v>13</v>
      </c>
      <c r="F736" s="2" t="s">
        <v>3</v>
      </c>
      <c r="G736" s="2">
        <v>725</v>
      </c>
      <c r="H736" s="2">
        <v>66.400000000000006</v>
      </c>
      <c r="I736" s="2">
        <v>62.1</v>
      </c>
      <c r="J736" s="2">
        <v>118</v>
      </c>
      <c r="K736" s="2" t="s">
        <v>4</v>
      </c>
      <c r="L736" s="2" t="str">
        <f t="shared" si="11"/>
        <v>Cancelled</v>
      </c>
      <c r="M736" t="str" cm="1">
        <f t="array" ref="M736">_xlfn.IFS(B736="Alpha_Inc","S001", B736="Delta_Logistics","S002", B736="Gamma_Co","S003", B736="Beta_Supplies","S004", B736="Epsilon_Group","S005")</f>
        <v>S002</v>
      </c>
      <c r="N736" t="str" cm="1">
        <f t="array" ref="N736">_xlfn.IFS(E736="Electronics","P001", E736="MRO","P002", E736="Office Supplies","P003", E736="Packaging","P004", E736="Raw Materials","P005")</f>
        <v>P004</v>
      </c>
    </row>
    <row r="737" spans="1:14" x14ac:dyDescent="0.2">
      <c r="A737" s="4" t="s">
        <v>751</v>
      </c>
      <c r="B737" s="5" t="s">
        <v>1</v>
      </c>
      <c r="C737" s="6">
        <v>44615</v>
      </c>
      <c r="D737" s="6">
        <v>44620</v>
      </c>
      <c r="E737" s="5" t="s">
        <v>28</v>
      </c>
      <c r="F737" s="5" t="s">
        <v>7</v>
      </c>
      <c r="G737" s="5">
        <v>1467</v>
      </c>
      <c r="H737" s="5">
        <v>34.200000000000003</v>
      </c>
      <c r="I737" s="5">
        <v>30.5</v>
      </c>
      <c r="J737" s="5">
        <v>25</v>
      </c>
      <c r="K737" s="5" t="s">
        <v>4</v>
      </c>
      <c r="L737" s="5" t="str">
        <f t="shared" si="11"/>
        <v>Delivered</v>
      </c>
      <c r="M737" t="str" cm="1">
        <f t="array" ref="M737">_xlfn.IFS(B737="Alpha_Inc","S001", B737="Delta_Logistics","S002", B737="Gamma_Co","S003", B737="Beta_Supplies","S004", B737="Epsilon_Group","S005")</f>
        <v>S001</v>
      </c>
      <c r="N737" t="str" cm="1">
        <f t="array" ref="N737">_xlfn.IFS(E737="Electronics","P001", E737="MRO","P002", E737="Office Supplies","P003", E737="Packaging","P004", E737="Raw Materials","P005")</f>
        <v>P001</v>
      </c>
    </row>
    <row r="738" spans="1:14" x14ac:dyDescent="0.2">
      <c r="A738" s="1" t="s">
        <v>752</v>
      </c>
      <c r="B738" s="2" t="s">
        <v>12</v>
      </c>
      <c r="C738" s="3">
        <v>44920</v>
      </c>
      <c r="D738" s="3">
        <v>44938</v>
      </c>
      <c r="E738" s="2" t="s">
        <v>13</v>
      </c>
      <c r="F738" s="2" t="s">
        <v>7</v>
      </c>
      <c r="G738" s="2">
        <v>1942</v>
      </c>
      <c r="H738" s="2">
        <v>93.98</v>
      </c>
      <c r="I738" s="2">
        <v>81.31</v>
      </c>
      <c r="J738" s="2">
        <v>198</v>
      </c>
      <c r="K738" s="2" t="s">
        <v>4</v>
      </c>
      <c r="L738" s="2" t="str">
        <f t="shared" si="11"/>
        <v>Delivered</v>
      </c>
      <c r="M738" t="str" cm="1">
        <f t="array" ref="M738">_xlfn.IFS(B738="Alpha_Inc","S001", B738="Delta_Logistics","S002", B738="Gamma_Co","S003", B738="Beta_Supplies","S004", B738="Epsilon_Group","S005")</f>
        <v>S004</v>
      </c>
      <c r="N738" t="str" cm="1">
        <f t="array" ref="N738">_xlfn.IFS(E738="Electronics","P001", E738="MRO","P002", E738="Office Supplies","P003", E738="Packaging","P004", E738="Raw Materials","P005")</f>
        <v>P004</v>
      </c>
    </row>
    <row r="739" spans="1:14" x14ac:dyDescent="0.2">
      <c r="A739" s="4" t="s">
        <v>753</v>
      </c>
      <c r="B739" s="5" t="s">
        <v>9</v>
      </c>
      <c r="C739" s="6">
        <v>44791</v>
      </c>
      <c r="D739" s="6">
        <f>Table1[[#This Row],[Order_Date]]+14</f>
        <v>44805</v>
      </c>
      <c r="E739" s="5" t="s">
        <v>2</v>
      </c>
      <c r="F739" s="5" t="s">
        <v>7</v>
      </c>
      <c r="G739" s="5">
        <v>506</v>
      </c>
      <c r="H739" s="5">
        <v>84.63</v>
      </c>
      <c r="I739" s="5">
        <v>72.69</v>
      </c>
      <c r="J739" s="5">
        <v>20</v>
      </c>
      <c r="K739" s="5" t="s">
        <v>4</v>
      </c>
      <c r="L739" s="5" t="str">
        <f t="shared" si="11"/>
        <v>Delivered</v>
      </c>
      <c r="M739" t="str" cm="1">
        <f t="array" ref="M739">_xlfn.IFS(B739="Alpha_Inc","S001", B739="Delta_Logistics","S002", B739="Gamma_Co","S003", B739="Beta_Supplies","S004", B739="Epsilon_Group","S005")</f>
        <v>S003</v>
      </c>
      <c r="N739" t="str" cm="1">
        <f t="array" ref="N739">_xlfn.IFS(E739="Electronics","P001", E739="MRO","P002", E739="Office Supplies","P003", E739="Packaging","P004", E739="Raw Materials","P005")</f>
        <v>P003</v>
      </c>
    </row>
    <row r="740" spans="1:14" x14ac:dyDescent="0.2">
      <c r="A740" s="1" t="s">
        <v>754</v>
      </c>
      <c r="B740" s="2" t="s">
        <v>1</v>
      </c>
      <c r="C740" s="3">
        <v>45227</v>
      </c>
      <c r="D740" s="3">
        <v>45243</v>
      </c>
      <c r="E740" s="2" t="s">
        <v>10</v>
      </c>
      <c r="F740" s="2" t="s">
        <v>7</v>
      </c>
      <c r="G740" s="2">
        <v>969</v>
      </c>
      <c r="H740" s="2">
        <v>76.53</v>
      </c>
      <c r="I740" s="2">
        <v>75.64</v>
      </c>
      <c r="J740" s="2">
        <v>30</v>
      </c>
      <c r="K740" s="2" t="s">
        <v>4</v>
      </c>
      <c r="L740" s="2" t="str">
        <f t="shared" si="11"/>
        <v>Delivered</v>
      </c>
      <c r="M740" t="str" cm="1">
        <f t="array" ref="M740">_xlfn.IFS(B740="Alpha_Inc","S001", B740="Delta_Logistics","S002", B740="Gamma_Co","S003", B740="Beta_Supplies","S004", B740="Epsilon_Group","S005")</f>
        <v>S001</v>
      </c>
      <c r="N740" t="str" cm="1">
        <f t="array" ref="N740">_xlfn.IFS(E740="Electronics","P001", E740="MRO","P002", E740="Office Supplies","P003", E740="Packaging","P004", E740="Raw Materials","P005")</f>
        <v>P002</v>
      </c>
    </row>
    <row r="741" spans="1:14" x14ac:dyDescent="0.2">
      <c r="A741" s="4" t="s">
        <v>755</v>
      </c>
      <c r="B741" s="5" t="s">
        <v>6</v>
      </c>
      <c r="C741" s="6">
        <v>44632</v>
      </c>
      <c r="D741" s="6">
        <v>44639</v>
      </c>
      <c r="E741" s="5" t="s">
        <v>10</v>
      </c>
      <c r="F741" s="5" t="s">
        <v>7</v>
      </c>
      <c r="G741" s="5">
        <v>241</v>
      </c>
      <c r="H741" s="5">
        <v>87.42</v>
      </c>
      <c r="I741" s="5">
        <v>82.15</v>
      </c>
      <c r="J741" s="5">
        <v>0</v>
      </c>
      <c r="K741" s="5" t="s">
        <v>4</v>
      </c>
      <c r="L741" s="5" t="str">
        <f t="shared" si="11"/>
        <v>Delivered</v>
      </c>
      <c r="M741" t="str" cm="1">
        <f t="array" ref="M741">_xlfn.IFS(B741="Alpha_Inc","S001", B741="Delta_Logistics","S002", B741="Gamma_Co","S003", B741="Beta_Supplies","S004", B741="Epsilon_Group","S005")</f>
        <v>S002</v>
      </c>
      <c r="N741" t="str" cm="1">
        <f t="array" ref="N741">_xlfn.IFS(E741="Electronics","P001", E741="MRO","P002", E741="Office Supplies","P003", E741="Packaging","P004", E741="Raw Materials","P005")</f>
        <v>P002</v>
      </c>
    </row>
    <row r="742" spans="1:14" x14ac:dyDescent="0.2">
      <c r="A742" s="1" t="s">
        <v>756</v>
      </c>
      <c r="B742" s="2" t="s">
        <v>9</v>
      </c>
      <c r="C742" s="3">
        <v>45229</v>
      </c>
      <c r="D742" s="3">
        <v>45239</v>
      </c>
      <c r="E742" s="2" t="s">
        <v>15</v>
      </c>
      <c r="F742" s="2" t="s">
        <v>7</v>
      </c>
      <c r="G742" s="2">
        <v>788</v>
      </c>
      <c r="H742" s="2">
        <v>97.3</v>
      </c>
      <c r="I742" s="2">
        <v>94.44</v>
      </c>
      <c r="J742" s="2">
        <v>32</v>
      </c>
      <c r="K742" s="2" t="s">
        <v>4</v>
      </c>
      <c r="L742" s="2" t="str">
        <f t="shared" si="11"/>
        <v>Delivered</v>
      </c>
      <c r="M742" t="str" cm="1">
        <f t="array" ref="M742">_xlfn.IFS(B742="Alpha_Inc","S001", B742="Delta_Logistics","S002", B742="Gamma_Co","S003", B742="Beta_Supplies","S004", B742="Epsilon_Group","S005")</f>
        <v>S003</v>
      </c>
      <c r="N742" t="str" cm="1">
        <f t="array" ref="N742">_xlfn.IFS(E742="Electronics","P001", E742="MRO","P002", E742="Office Supplies","P003", E742="Packaging","P004", E742="Raw Materials","P005")</f>
        <v>P005</v>
      </c>
    </row>
    <row r="743" spans="1:14" x14ac:dyDescent="0.2">
      <c r="A743" s="4" t="s">
        <v>757</v>
      </c>
      <c r="B743" s="5" t="s">
        <v>9</v>
      </c>
      <c r="C743" s="6">
        <v>44603</v>
      </c>
      <c r="D743" s="6">
        <v>44605</v>
      </c>
      <c r="E743" s="5" t="s">
        <v>2</v>
      </c>
      <c r="F743" s="5" t="s">
        <v>7</v>
      </c>
      <c r="G743" s="5">
        <v>1762</v>
      </c>
      <c r="H743" s="5">
        <v>74.12</v>
      </c>
      <c r="I743" s="5">
        <v>65.709999999999994</v>
      </c>
      <c r="J743" s="5">
        <v>94</v>
      </c>
      <c r="K743" s="5" t="s">
        <v>4</v>
      </c>
      <c r="L743" s="5" t="str">
        <f t="shared" si="11"/>
        <v>Delivered</v>
      </c>
      <c r="M743" t="str" cm="1">
        <f t="array" ref="M743">_xlfn.IFS(B743="Alpha_Inc","S001", B743="Delta_Logistics","S002", B743="Gamma_Co","S003", B743="Beta_Supplies","S004", B743="Epsilon_Group","S005")</f>
        <v>S003</v>
      </c>
      <c r="N743" t="str" cm="1">
        <f t="array" ref="N743">_xlfn.IFS(E743="Electronics","P001", E743="MRO","P002", E743="Office Supplies","P003", E743="Packaging","P004", E743="Raw Materials","P005")</f>
        <v>P003</v>
      </c>
    </row>
    <row r="744" spans="1:14" x14ac:dyDescent="0.2">
      <c r="A744" s="1" t="s">
        <v>758</v>
      </c>
      <c r="B744" s="2" t="s">
        <v>1</v>
      </c>
      <c r="C744" s="3">
        <v>44593</v>
      </c>
      <c r="D744" s="3">
        <f>Table1[[#This Row],[Order_Date]]+14</f>
        <v>44607</v>
      </c>
      <c r="E744" s="2" t="s">
        <v>15</v>
      </c>
      <c r="F744" s="2" t="s">
        <v>24</v>
      </c>
      <c r="G744" s="2">
        <v>1172</v>
      </c>
      <c r="H744" s="2">
        <v>85.76</v>
      </c>
      <c r="I744" s="2">
        <v>81.430000000000007</v>
      </c>
      <c r="J744" s="2">
        <v>25</v>
      </c>
      <c r="K744" s="2" t="s">
        <v>4</v>
      </c>
      <c r="L744" s="2" t="str">
        <f t="shared" si="11"/>
        <v>Pending</v>
      </c>
      <c r="M744" t="str" cm="1">
        <f t="array" ref="M744">_xlfn.IFS(B744="Alpha_Inc","S001", B744="Delta_Logistics","S002", B744="Gamma_Co","S003", B744="Beta_Supplies","S004", B744="Epsilon_Group","S005")</f>
        <v>S001</v>
      </c>
      <c r="N744" t="str" cm="1">
        <f t="array" ref="N744">_xlfn.IFS(E744="Electronics","P001", E744="MRO","P002", E744="Office Supplies","P003", E744="Packaging","P004", E744="Raw Materials","P005")</f>
        <v>P005</v>
      </c>
    </row>
    <row r="745" spans="1:14" x14ac:dyDescent="0.2">
      <c r="A745" s="4" t="s">
        <v>759</v>
      </c>
      <c r="B745" s="5" t="s">
        <v>6</v>
      </c>
      <c r="C745" s="6">
        <v>44815</v>
      </c>
      <c r="D745" s="6">
        <v>44834</v>
      </c>
      <c r="E745" s="5" t="s">
        <v>2</v>
      </c>
      <c r="F745" s="5" t="s">
        <v>7</v>
      </c>
      <c r="G745" s="5">
        <v>1621</v>
      </c>
      <c r="H745" s="5">
        <v>75.680000000000007</v>
      </c>
      <c r="I745" s="5">
        <v>73.78</v>
      </c>
      <c r="J745" s="5">
        <v>226</v>
      </c>
      <c r="K745" s="5" t="s">
        <v>16</v>
      </c>
      <c r="L745" s="5" t="str">
        <f t="shared" si="11"/>
        <v>Delivered</v>
      </c>
      <c r="M745" t="str" cm="1">
        <f t="array" ref="M745">_xlfn.IFS(B745="Alpha_Inc","S001", B745="Delta_Logistics","S002", B745="Gamma_Co","S003", B745="Beta_Supplies","S004", B745="Epsilon_Group","S005")</f>
        <v>S002</v>
      </c>
      <c r="N745" t="str" cm="1">
        <f t="array" ref="N745">_xlfn.IFS(E745="Electronics","P001", E745="MRO","P002", E745="Office Supplies","P003", E745="Packaging","P004", E745="Raw Materials","P005")</f>
        <v>P003</v>
      </c>
    </row>
    <row r="746" spans="1:14" x14ac:dyDescent="0.2">
      <c r="A746" s="1" t="s">
        <v>760</v>
      </c>
      <c r="B746" s="2" t="s">
        <v>1</v>
      </c>
      <c r="C746" s="3">
        <v>44766</v>
      </c>
      <c r="D746" s="3">
        <v>44768</v>
      </c>
      <c r="E746" s="2" t="s">
        <v>13</v>
      </c>
      <c r="F746" s="2" t="s">
        <v>7</v>
      </c>
      <c r="G746" s="2">
        <v>1027</v>
      </c>
      <c r="H746" s="2">
        <v>73.349999999999994</v>
      </c>
      <c r="I746" s="2">
        <v>65.42</v>
      </c>
      <c r="J746" s="2">
        <v>24</v>
      </c>
      <c r="K746" s="2" t="s">
        <v>16</v>
      </c>
      <c r="L746" s="2" t="str">
        <f t="shared" si="11"/>
        <v>Delivered</v>
      </c>
      <c r="M746" t="str" cm="1">
        <f t="array" ref="M746">_xlfn.IFS(B746="Alpha_Inc","S001", B746="Delta_Logistics","S002", B746="Gamma_Co","S003", B746="Beta_Supplies","S004", B746="Epsilon_Group","S005")</f>
        <v>S001</v>
      </c>
      <c r="N746" t="str" cm="1">
        <f t="array" ref="N746">_xlfn.IFS(E746="Electronics","P001", E746="MRO","P002", E746="Office Supplies","P003", E746="Packaging","P004", E746="Raw Materials","P005")</f>
        <v>P004</v>
      </c>
    </row>
    <row r="747" spans="1:14" x14ac:dyDescent="0.2">
      <c r="A747" s="4" t="s">
        <v>761</v>
      </c>
      <c r="B747" s="5" t="s">
        <v>12</v>
      </c>
      <c r="C747" s="6">
        <v>44582</v>
      </c>
      <c r="D747" s="6">
        <f>Table1[[#This Row],[Order_Date]]+14</f>
        <v>44596</v>
      </c>
      <c r="E747" s="5" t="s">
        <v>15</v>
      </c>
      <c r="F747" s="5" t="s">
        <v>7</v>
      </c>
      <c r="G747" s="5">
        <v>1058</v>
      </c>
      <c r="H747" s="5">
        <v>65.680000000000007</v>
      </c>
      <c r="I747" s="5">
        <v>57.21</v>
      </c>
      <c r="J747" s="5">
        <v>101</v>
      </c>
      <c r="K747" s="5" t="s">
        <v>4</v>
      </c>
      <c r="L747" s="5" t="str">
        <f t="shared" si="11"/>
        <v>Delivered</v>
      </c>
      <c r="M747" t="str" cm="1">
        <f t="array" ref="M747">_xlfn.IFS(B747="Alpha_Inc","S001", B747="Delta_Logistics","S002", B747="Gamma_Co","S003", B747="Beta_Supplies","S004", B747="Epsilon_Group","S005")</f>
        <v>S004</v>
      </c>
      <c r="N747" t="str" cm="1">
        <f t="array" ref="N747">_xlfn.IFS(E747="Electronics","P001", E747="MRO","P002", E747="Office Supplies","P003", E747="Packaging","P004", E747="Raw Materials","P005")</f>
        <v>P005</v>
      </c>
    </row>
    <row r="748" spans="1:14" x14ac:dyDescent="0.2">
      <c r="A748" s="1" t="s">
        <v>762</v>
      </c>
      <c r="B748" s="2" t="s">
        <v>12</v>
      </c>
      <c r="C748" s="3">
        <v>45198</v>
      </c>
      <c r="D748" s="3">
        <v>45204</v>
      </c>
      <c r="E748" s="2" t="s">
        <v>13</v>
      </c>
      <c r="F748" s="2" t="s">
        <v>7</v>
      </c>
      <c r="G748" s="2">
        <v>145</v>
      </c>
      <c r="H748" s="2">
        <v>85.52</v>
      </c>
      <c r="I748" s="2">
        <v>81.86</v>
      </c>
      <c r="J748" s="2">
        <v>11</v>
      </c>
      <c r="K748" s="2" t="s">
        <v>16</v>
      </c>
      <c r="L748" s="2" t="str">
        <f t="shared" si="11"/>
        <v>Delivered</v>
      </c>
      <c r="M748" t="str" cm="1">
        <f t="array" ref="M748">_xlfn.IFS(B748="Alpha_Inc","S001", B748="Delta_Logistics","S002", B748="Gamma_Co","S003", B748="Beta_Supplies","S004", B748="Epsilon_Group","S005")</f>
        <v>S004</v>
      </c>
      <c r="N748" t="str" cm="1">
        <f t="array" ref="N748">_xlfn.IFS(E748="Electronics","P001", E748="MRO","P002", E748="Office Supplies","P003", E748="Packaging","P004", E748="Raw Materials","P005")</f>
        <v>P004</v>
      </c>
    </row>
    <row r="749" spans="1:14" x14ac:dyDescent="0.2">
      <c r="A749" s="4" t="s">
        <v>763</v>
      </c>
      <c r="B749" s="5" t="s">
        <v>18</v>
      </c>
      <c r="C749" s="6">
        <v>44718</v>
      </c>
      <c r="D749" s="6">
        <f>Table1[[#This Row],[Order_Date]]+14</f>
        <v>44732</v>
      </c>
      <c r="E749" s="5" t="s">
        <v>2</v>
      </c>
      <c r="F749" s="5" t="s">
        <v>7</v>
      </c>
      <c r="G749" s="5">
        <v>1737</v>
      </c>
      <c r="H749" s="5">
        <v>24.88</v>
      </c>
      <c r="I749" s="5">
        <v>24.28</v>
      </c>
      <c r="J749" s="5">
        <v>46</v>
      </c>
      <c r="K749" s="5" t="s">
        <v>4</v>
      </c>
      <c r="L749" s="5" t="str">
        <f t="shared" si="11"/>
        <v>Delivered</v>
      </c>
      <c r="M749" t="str" cm="1">
        <f t="array" ref="M749">_xlfn.IFS(B749="Alpha_Inc","S001", B749="Delta_Logistics","S002", B749="Gamma_Co","S003", B749="Beta_Supplies","S004", B749="Epsilon_Group","S005")</f>
        <v>S005</v>
      </c>
      <c r="N749" t="str" cm="1">
        <f t="array" ref="N749">_xlfn.IFS(E749="Electronics","P001", E749="MRO","P002", E749="Office Supplies","P003", E749="Packaging","P004", E749="Raw Materials","P005")</f>
        <v>P003</v>
      </c>
    </row>
    <row r="750" spans="1:14" x14ac:dyDescent="0.2">
      <c r="A750" s="1" t="s">
        <v>764</v>
      </c>
      <c r="B750" s="2" t="s">
        <v>9</v>
      </c>
      <c r="C750" s="3">
        <v>44806</v>
      </c>
      <c r="D750" s="3">
        <v>44819</v>
      </c>
      <c r="E750" s="2" t="s">
        <v>28</v>
      </c>
      <c r="F750" s="2" t="s">
        <v>7</v>
      </c>
      <c r="G750" s="2">
        <v>712</v>
      </c>
      <c r="H750" s="2">
        <v>92.85</v>
      </c>
      <c r="I750" s="2">
        <v>89.39</v>
      </c>
      <c r="J750" s="2">
        <v>43</v>
      </c>
      <c r="K750" s="2" t="s">
        <v>4</v>
      </c>
      <c r="L750" s="2" t="str">
        <f t="shared" si="11"/>
        <v>Delivered</v>
      </c>
      <c r="M750" t="str" cm="1">
        <f t="array" ref="M750">_xlfn.IFS(B750="Alpha_Inc","S001", B750="Delta_Logistics","S002", B750="Gamma_Co","S003", B750="Beta_Supplies","S004", B750="Epsilon_Group","S005")</f>
        <v>S003</v>
      </c>
      <c r="N750" t="str" cm="1">
        <f t="array" ref="N750">_xlfn.IFS(E750="Electronics","P001", E750="MRO","P002", E750="Office Supplies","P003", E750="Packaging","P004", E750="Raw Materials","P005")</f>
        <v>P001</v>
      </c>
    </row>
    <row r="751" spans="1:14" x14ac:dyDescent="0.2">
      <c r="A751" s="4" t="s">
        <v>765</v>
      </c>
      <c r="B751" s="5" t="s">
        <v>18</v>
      </c>
      <c r="C751" s="6">
        <v>44691</v>
      </c>
      <c r="D751" s="6">
        <v>44697</v>
      </c>
      <c r="E751" s="5" t="s">
        <v>28</v>
      </c>
      <c r="F751" s="5" t="s">
        <v>7</v>
      </c>
      <c r="G751" s="5">
        <v>1263</v>
      </c>
      <c r="H751" s="5">
        <v>90.24</v>
      </c>
      <c r="I751" s="5">
        <v>86.84</v>
      </c>
      <c r="J751" s="5">
        <v>28</v>
      </c>
      <c r="K751" s="5" t="s">
        <v>4</v>
      </c>
      <c r="L751" s="5" t="str">
        <f t="shared" si="11"/>
        <v>Delivered</v>
      </c>
      <c r="M751" t="str" cm="1">
        <f t="array" ref="M751">_xlfn.IFS(B751="Alpha_Inc","S001", B751="Delta_Logistics","S002", B751="Gamma_Co","S003", B751="Beta_Supplies","S004", B751="Epsilon_Group","S005")</f>
        <v>S005</v>
      </c>
      <c r="N751" t="str" cm="1">
        <f t="array" ref="N751">_xlfn.IFS(E751="Electronics","P001", E751="MRO","P002", E751="Office Supplies","P003", E751="Packaging","P004", E751="Raw Materials","P005")</f>
        <v>P001</v>
      </c>
    </row>
    <row r="752" spans="1:14" x14ac:dyDescent="0.2">
      <c r="A752" s="1" t="s">
        <v>766</v>
      </c>
      <c r="B752" s="2" t="s">
        <v>6</v>
      </c>
      <c r="C752" s="3">
        <v>45046</v>
      </c>
      <c r="D752" s="3">
        <v>45263</v>
      </c>
      <c r="E752" s="2" t="s">
        <v>28</v>
      </c>
      <c r="F752" s="2" t="s">
        <v>7</v>
      </c>
      <c r="G752" s="2">
        <v>1809</v>
      </c>
      <c r="H752" s="2">
        <v>13.58</v>
      </c>
      <c r="I752" s="2">
        <v>12.68</v>
      </c>
      <c r="J752" s="2">
        <v>0</v>
      </c>
      <c r="K752" s="2" t="s">
        <v>16</v>
      </c>
      <c r="L752" s="2" t="str">
        <f t="shared" si="11"/>
        <v>Delivered</v>
      </c>
      <c r="M752" t="str" cm="1">
        <f t="array" ref="M752">_xlfn.IFS(B752="Alpha_Inc","S001", B752="Delta_Logistics","S002", B752="Gamma_Co","S003", B752="Beta_Supplies","S004", B752="Epsilon_Group","S005")</f>
        <v>S002</v>
      </c>
      <c r="N752" t="str" cm="1">
        <f t="array" ref="N752">_xlfn.IFS(E752="Electronics","P001", E752="MRO","P002", E752="Office Supplies","P003", E752="Packaging","P004", E752="Raw Materials","P005")</f>
        <v>P001</v>
      </c>
    </row>
    <row r="753" spans="1:14" x14ac:dyDescent="0.2">
      <c r="A753" s="4" t="s">
        <v>767</v>
      </c>
      <c r="B753" s="5" t="s">
        <v>12</v>
      </c>
      <c r="C753" s="6">
        <v>45247</v>
      </c>
      <c r="D753" s="3">
        <v>45264</v>
      </c>
      <c r="E753" s="5" t="s">
        <v>28</v>
      </c>
      <c r="F753" s="5" t="s">
        <v>3</v>
      </c>
      <c r="G753" s="5">
        <v>86</v>
      </c>
      <c r="H753" s="5">
        <v>93.6</v>
      </c>
      <c r="I753" s="5">
        <v>88.22</v>
      </c>
      <c r="J753" s="5">
        <v>5</v>
      </c>
      <c r="K753" s="5" t="s">
        <v>4</v>
      </c>
      <c r="L753" s="5" t="str">
        <f t="shared" si="11"/>
        <v>Cancelled</v>
      </c>
      <c r="M753" t="str" cm="1">
        <f t="array" ref="M753">_xlfn.IFS(B753="Alpha_Inc","S001", B753="Delta_Logistics","S002", B753="Gamma_Co","S003", B753="Beta_Supplies","S004", B753="Epsilon_Group","S005")</f>
        <v>S004</v>
      </c>
      <c r="N753" t="str" cm="1">
        <f t="array" ref="N753">_xlfn.IFS(E753="Electronics","P001", E753="MRO","P002", E753="Office Supplies","P003", E753="Packaging","P004", E753="Raw Materials","P005")</f>
        <v>P001</v>
      </c>
    </row>
    <row r="754" spans="1:14" x14ac:dyDescent="0.2">
      <c r="A754" s="1" t="s">
        <v>768</v>
      </c>
      <c r="B754" s="2" t="s">
        <v>18</v>
      </c>
      <c r="C754" s="3">
        <v>44679</v>
      </c>
      <c r="D754" s="3">
        <v>45265</v>
      </c>
      <c r="E754" s="2" t="s">
        <v>10</v>
      </c>
      <c r="F754" s="2" t="s">
        <v>7</v>
      </c>
      <c r="G754" s="2">
        <v>1853</v>
      </c>
      <c r="H754" s="2">
        <v>21.92</v>
      </c>
      <c r="I754" s="2">
        <v>20.72</v>
      </c>
      <c r="J754" s="2">
        <v>0</v>
      </c>
      <c r="K754" s="2" t="s">
        <v>4</v>
      </c>
      <c r="L754" s="2" t="str">
        <f t="shared" si="11"/>
        <v>Delivered</v>
      </c>
      <c r="M754" t="str" cm="1">
        <f t="array" ref="M754">_xlfn.IFS(B754="Alpha_Inc","S001", B754="Delta_Logistics","S002", B754="Gamma_Co","S003", B754="Beta_Supplies","S004", B754="Epsilon_Group","S005")</f>
        <v>S005</v>
      </c>
      <c r="N754" t="str" cm="1">
        <f t="array" ref="N754">_xlfn.IFS(E754="Electronics","P001", E754="MRO","P002", E754="Office Supplies","P003", E754="Packaging","P004", E754="Raw Materials","P005")</f>
        <v>P002</v>
      </c>
    </row>
    <row r="755" spans="1:14" x14ac:dyDescent="0.2">
      <c r="A755" s="4" t="s">
        <v>769</v>
      </c>
      <c r="B755" s="5" t="s">
        <v>12</v>
      </c>
      <c r="C755" s="6">
        <v>45139</v>
      </c>
      <c r="D755" s="6">
        <v>45140</v>
      </c>
      <c r="E755" s="5" t="s">
        <v>28</v>
      </c>
      <c r="F755" s="5" t="s">
        <v>7</v>
      </c>
      <c r="G755" s="5">
        <v>1442</v>
      </c>
      <c r="H755" s="5">
        <v>43.98</v>
      </c>
      <c r="I755" s="5">
        <v>41.82</v>
      </c>
      <c r="J755" s="5">
        <v>140</v>
      </c>
      <c r="K755" s="5" t="s">
        <v>16</v>
      </c>
      <c r="L755" s="5" t="str">
        <f t="shared" si="11"/>
        <v>Delivered</v>
      </c>
      <c r="M755" t="str" cm="1">
        <f t="array" ref="M755">_xlfn.IFS(B755="Alpha_Inc","S001", B755="Delta_Logistics","S002", B755="Gamma_Co","S003", B755="Beta_Supplies","S004", B755="Epsilon_Group","S005")</f>
        <v>S004</v>
      </c>
      <c r="N755" t="str" cm="1">
        <f t="array" ref="N755">_xlfn.IFS(E755="Electronics","P001", E755="MRO","P002", E755="Office Supplies","P003", E755="Packaging","P004", E755="Raw Materials","P005")</f>
        <v>P001</v>
      </c>
    </row>
    <row r="756" spans="1:14" x14ac:dyDescent="0.2">
      <c r="A756" s="1" t="s">
        <v>770</v>
      </c>
      <c r="B756" s="2" t="s">
        <v>12</v>
      </c>
      <c r="C756" s="3">
        <v>44785</v>
      </c>
      <c r="D756" s="3">
        <v>44805</v>
      </c>
      <c r="E756" s="2" t="s">
        <v>2</v>
      </c>
      <c r="F756" s="2" t="s">
        <v>24</v>
      </c>
      <c r="G756" s="2">
        <v>1768</v>
      </c>
      <c r="H756" s="2">
        <v>79.61</v>
      </c>
      <c r="I756" s="2">
        <v>74.97</v>
      </c>
      <c r="J756" s="2">
        <v>207</v>
      </c>
      <c r="K756" s="2" t="s">
        <v>16</v>
      </c>
      <c r="L756" s="2" t="str">
        <f t="shared" si="11"/>
        <v>Pending</v>
      </c>
      <c r="M756" t="str" cm="1">
        <f t="array" ref="M756">_xlfn.IFS(B756="Alpha_Inc","S001", B756="Delta_Logistics","S002", B756="Gamma_Co","S003", B756="Beta_Supplies","S004", B756="Epsilon_Group","S005")</f>
        <v>S004</v>
      </c>
      <c r="N756" t="str" cm="1">
        <f t="array" ref="N756">_xlfn.IFS(E756="Electronics","P001", E756="MRO","P002", E756="Office Supplies","P003", E756="Packaging","P004", E756="Raw Materials","P005")</f>
        <v>P003</v>
      </c>
    </row>
    <row r="757" spans="1:14" x14ac:dyDescent="0.2">
      <c r="A757" s="4" t="s">
        <v>771</v>
      </c>
      <c r="B757" s="5" t="s">
        <v>12</v>
      </c>
      <c r="C757" s="6">
        <v>45038</v>
      </c>
      <c r="D757" s="6">
        <v>45049</v>
      </c>
      <c r="E757" s="5" t="s">
        <v>28</v>
      </c>
      <c r="F757" s="5" t="s">
        <v>22</v>
      </c>
      <c r="G757" s="5">
        <v>1598</v>
      </c>
      <c r="H757" s="5">
        <v>26.3</v>
      </c>
      <c r="I757" s="5">
        <v>26.03</v>
      </c>
      <c r="J757" s="5">
        <v>154</v>
      </c>
      <c r="K757" s="5" t="s">
        <v>16</v>
      </c>
      <c r="L757" s="5" t="str">
        <f t="shared" si="11"/>
        <v>Partially Delivered</v>
      </c>
      <c r="M757" t="str" cm="1">
        <f t="array" ref="M757">_xlfn.IFS(B757="Alpha_Inc","S001", B757="Delta_Logistics","S002", B757="Gamma_Co","S003", B757="Beta_Supplies","S004", B757="Epsilon_Group","S005")</f>
        <v>S004</v>
      </c>
      <c r="N757" t="str" cm="1">
        <f t="array" ref="N757">_xlfn.IFS(E757="Electronics","P001", E757="MRO","P002", E757="Office Supplies","P003", E757="Packaging","P004", E757="Raw Materials","P005")</f>
        <v>P001</v>
      </c>
    </row>
    <row r="758" spans="1:14" x14ac:dyDescent="0.2">
      <c r="A758" s="1" t="s">
        <v>772</v>
      </c>
      <c r="B758" s="2" t="s">
        <v>1</v>
      </c>
      <c r="C758" s="3">
        <v>45278</v>
      </c>
      <c r="D758" s="3">
        <v>45296</v>
      </c>
      <c r="E758" s="2" t="s">
        <v>10</v>
      </c>
      <c r="F758" s="2" t="s">
        <v>3</v>
      </c>
      <c r="G758" s="2">
        <v>328</v>
      </c>
      <c r="H758" s="2">
        <v>93.23</v>
      </c>
      <c r="I758" s="2">
        <v>82.63</v>
      </c>
      <c r="J758" s="2">
        <v>6</v>
      </c>
      <c r="K758" s="2" t="s">
        <v>4</v>
      </c>
      <c r="L758" s="2" t="str">
        <f t="shared" si="11"/>
        <v>Cancelled</v>
      </c>
      <c r="M758" t="str" cm="1">
        <f t="array" ref="M758">_xlfn.IFS(B758="Alpha_Inc","S001", B758="Delta_Logistics","S002", B758="Gamma_Co","S003", B758="Beta_Supplies","S004", B758="Epsilon_Group","S005")</f>
        <v>S001</v>
      </c>
      <c r="N758" t="str" cm="1">
        <f t="array" ref="N758">_xlfn.IFS(E758="Electronics","P001", E758="MRO","P002", E758="Office Supplies","P003", E758="Packaging","P004", E758="Raw Materials","P005")</f>
        <v>P002</v>
      </c>
    </row>
    <row r="759" spans="1:14" x14ac:dyDescent="0.2">
      <c r="A759" s="4" t="s">
        <v>773</v>
      </c>
      <c r="B759" s="5" t="s">
        <v>18</v>
      </c>
      <c r="C759" s="6">
        <v>44824</v>
      </c>
      <c r="D759" s="6">
        <v>44829</v>
      </c>
      <c r="E759" s="5" t="s">
        <v>13</v>
      </c>
      <c r="F759" s="5" t="s">
        <v>7</v>
      </c>
      <c r="G759" s="5">
        <v>266</v>
      </c>
      <c r="H759" s="5">
        <v>88.29</v>
      </c>
      <c r="I759" s="5">
        <v>80.22</v>
      </c>
      <c r="J759" s="5">
        <v>4</v>
      </c>
      <c r="K759" s="5" t="s">
        <v>4</v>
      </c>
      <c r="L759" s="5" t="str">
        <f t="shared" si="11"/>
        <v>Delivered</v>
      </c>
      <c r="M759" t="str" cm="1">
        <f t="array" ref="M759">_xlfn.IFS(B759="Alpha_Inc","S001", B759="Delta_Logistics","S002", B759="Gamma_Co","S003", B759="Beta_Supplies","S004", B759="Epsilon_Group","S005")</f>
        <v>S005</v>
      </c>
      <c r="N759" t="str" cm="1">
        <f t="array" ref="N759">_xlfn.IFS(E759="Electronics","P001", E759="MRO","P002", E759="Office Supplies","P003", E759="Packaging","P004", E759="Raw Materials","P005")</f>
        <v>P004</v>
      </c>
    </row>
    <row r="760" spans="1:14" x14ac:dyDescent="0.2">
      <c r="A760" s="1" t="s">
        <v>774</v>
      </c>
      <c r="B760" s="2" t="s">
        <v>9</v>
      </c>
      <c r="C760" s="3">
        <v>44939</v>
      </c>
      <c r="D760" s="3">
        <v>44954</v>
      </c>
      <c r="E760" s="2" t="s">
        <v>15</v>
      </c>
      <c r="F760" s="2" t="s">
        <v>7</v>
      </c>
      <c r="G760" s="2">
        <v>916</v>
      </c>
      <c r="H760" s="2">
        <v>59.01</v>
      </c>
      <c r="I760" s="2">
        <v>53.37</v>
      </c>
      <c r="J760" s="2">
        <v>47</v>
      </c>
      <c r="K760" s="2" t="s">
        <v>4</v>
      </c>
      <c r="L760" s="2" t="str">
        <f t="shared" si="11"/>
        <v>Delivered</v>
      </c>
      <c r="M760" t="str" cm="1">
        <f t="array" ref="M760">_xlfn.IFS(B760="Alpha_Inc","S001", B760="Delta_Logistics","S002", B760="Gamma_Co","S003", B760="Beta_Supplies","S004", B760="Epsilon_Group","S005")</f>
        <v>S003</v>
      </c>
      <c r="N760" t="str" cm="1">
        <f t="array" ref="N760">_xlfn.IFS(E760="Electronics","P001", E760="MRO","P002", E760="Office Supplies","P003", E760="Packaging","P004", E760="Raw Materials","P005")</f>
        <v>P005</v>
      </c>
    </row>
    <row r="761" spans="1:14" x14ac:dyDescent="0.2">
      <c r="A761" s="4" t="s">
        <v>775</v>
      </c>
      <c r="B761" s="5" t="s">
        <v>18</v>
      </c>
      <c r="C761" s="6">
        <v>44733</v>
      </c>
      <c r="D761" s="6">
        <v>44737</v>
      </c>
      <c r="E761" s="5" t="s">
        <v>13</v>
      </c>
      <c r="F761" s="5" t="s">
        <v>3</v>
      </c>
      <c r="G761" s="5">
        <v>922</v>
      </c>
      <c r="H761" s="5">
        <v>10.84</v>
      </c>
      <c r="I761" s="5">
        <v>9.27</v>
      </c>
      <c r="J761" s="5">
        <v>29</v>
      </c>
      <c r="K761" s="5" t="s">
        <v>4</v>
      </c>
      <c r="L761" s="5" t="str">
        <f t="shared" si="11"/>
        <v>Cancelled</v>
      </c>
      <c r="M761" t="str" cm="1">
        <f t="array" ref="M761">_xlfn.IFS(B761="Alpha_Inc","S001", B761="Delta_Logistics","S002", B761="Gamma_Co","S003", B761="Beta_Supplies","S004", B761="Epsilon_Group","S005")</f>
        <v>S005</v>
      </c>
      <c r="N761" t="str" cm="1">
        <f t="array" ref="N761">_xlfn.IFS(E761="Electronics","P001", E761="MRO","P002", E761="Office Supplies","P003", E761="Packaging","P004", E761="Raw Materials","P005")</f>
        <v>P004</v>
      </c>
    </row>
    <row r="762" spans="1:14" x14ac:dyDescent="0.2">
      <c r="A762" s="1" t="s">
        <v>776</v>
      </c>
      <c r="B762" s="2" t="s">
        <v>9</v>
      </c>
      <c r="C762" s="3">
        <v>45182</v>
      </c>
      <c r="D762" s="3">
        <v>45197</v>
      </c>
      <c r="E762" s="2" t="s">
        <v>13</v>
      </c>
      <c r="F762" s="2" t="s">
        <v>7</v>
      </c>
      <c r="G762" s="2">
        <v>1871</v>
      </c>
      <c r="H762" s="2">
        <v>39.42</v>
      </c>
      <c r="I762" s="2">
        <v>37.409999999999997</v>
      </c>
      <c r="J762" s="2">
        <v>101</v>
      </c>
      <c r="K762" s="2" t="s">
        <v>16</v>
      </c>
      <c r="L762" s="2" t="str">
        <f t="shared" si="11"/>
        <v>Delivered</v>
      </c>
      <c r="M762" t="str" cm="1">
        <f t="array" ref="M762">_xlfn.IFS(B762="Alpha_Inc","S001", B762="Delta_Logistics","S002", B762="Gamma_Co","S003", B762="Beta_Supplies","S004", B762="Epsilon_Group","S005")</f>
        <v>S003</v>
      </c>
      <c r="N762" t="str" cm="1">
        <f t="array" ref="N762">_xlfn.IFS(E762="Electronics","P001", E762="MRO","P002", E762="Office Supplies","P003", E762="Packaging","P004", E762="Raw Materials","P005")</f>
        <v>P004</v>
      </c>
    </row>
    <row r="763" spans="1:14" x14ac:dyDescent="0.2">
      <c r="A763" s="4" t="s">
        <v>777</v>
      </c>
      <c r="B763" s="5" t="s">
        <v>18</v>
      </c>
      <c r="C763" s="6">
        <v>45183</v>
      </c>
      <c r="D763" s="6">
        <v>45189</v>
      </c>
      <c r="E763" s="5" t="s">
        <v>15</v>
      </c>
      <c r="F763" s="5" t="s">
        <v>7</v>
      </c>
      <c r="G763" s="5">
        <v>1346</v>
      </c>
      <c r="H763" s="5">
        <v>72.08</v>
      </c>
      <c r="I763" s="5">
        <v>67.040000000000006</v>
      </c>
      <c r="J763" s="5">
        <v>38</v>
      </c>
      <c r="K763" s="5" t="s">
        <v>4</v>
      </c>
      <c r="L763" s="5" t="str">
        <f t="shared" si="11"/>
        <v>Delivered</v>
      </c>
      <c r="M763" t="str" cm="1">
        <f t="array" ref="M763">_xlfn.IFS(B763="Alpha_Inc","S001", B763="Delta_Logistics","S002", B763="Gamma_Co","S003", B763="Beta_Supplies","S004", B763="Epsilon_Group","S005")</f>
        <v>S005</v>
      </c>
      <c r="N763" t="str" cm="1">
        <f t="array" ref="N763">_xlfn.IFS(E763="Electronics","P001", E763="MRO","P002", E763="Office Supplies","P003", E763="Packaging","P004", E763="Raw Materials","P005")</f>
        <v>P005</v>
      </c>
    </row>
    <row r="764" spans="1:14" x14ac:dyDescent="0.2">
      <c r="A764" s="1" t="s">
        <v>778</v>
      </c>
      <c r="B764" s="2" t="s">
        <v>18</v>
      </c>
      <c r="C764" s="3">
        <v>44679</v>
      </c>
      <c r="D764" s="3">
        <v>44690</v>
      </c>
      <c r="E764" s="2" t="s">
        <v>28</v>
      </c>
      <c r="F764" s="2" t="s">
        <v>7</v>
      </c>
      <c r="G764" s="2">
        <v>1954</v>
      </c>
      <c r="H764" s="2">
        <v>99.78</v>
      </c>
      <c r="I764" s="2">
        <v>87.47</v>
      </c>
      <c r="J764" s="2">
        <v>57</v>
      </c>
      <c r="K764" s="2" t="s">
        <v>4</v>
      </c>
      <c r="L764" s="2" t="str">
        <f t="shared" si="11"/>
        <v>Delivered</v>
      </c>
      <c r="M764" t="str" cm="1">
        <f t="array" ref="M764">_xlfn.IFS(B764="Alpha_Inc","S001", B764="Delta_Logistics","S002", B764="Gamma_Co","S003", B764="Beta_Supplies","S004", B764="Epsilon_Group","S005")</f>
        <v>S005</v>
      </c>
      <c r="N764" t="str" cm="1">
        <f t="array" ref="N764">_xlfn.IFS(E764="Electronics","P001", E764="MRO","P002", E764="Office Supplies","P003", E764="Packaging","P004", E764="Raw Materials","P005")</f>
        <v>P001</v>
      </c>
    </row>
    <row r="765" spans="1:14" x14ac:dyDescent="0.2">
      <c r="A765" s="4" t="s">
        <v>779</v>
      </c>
      <c r="B765" s="5" t="s">
        <v>12</v>
      </c>
      <c r="C765" s="6">
        <v>44729</v>
      </c>
      <c r="D765" s="6">
        <v>44748</v>
      </c>
      <c r="E765" s="5" t="s">
        <v>28</v>
      </c>
      <c r="F765" s="5" t="s">
        <v>7</v>
      </c>
      <c r="G765" s="5">
        <v>111</v>
      </c>
      <c r="H765" s="5">
        <v>68.53</v>
      </c>
      <c r="I765" s="5">
        <v>65.22</v>
      </c>
      <c r="J765" s="5">
        <v>11</v>
      </c>
      <c r="K765" s="5" t="s">
        <v>4</v>
      </c>
      <c r="L765" s="5" t="str">
        <f t="shared" si="11"/>
        <v>Delivered</v>
      </c>
      <c r="M765" t="str" cm="1">
        <f t="array" ref="M765">_xlfn.IFS(B765="Alpha_Inc","S001", B765="Delta_Logistics","S002", B765="Gamma_Co","S003", B765="Beta_Supplies","S004", B765="Epsilon_Group","S005")</f>
        <v>S004</v>
      </c>
      <c r="N765" t="str" cm="1">
        <f t="array" ref="N765">_xlfn.IFS(E765="Electronics","P001", E765="MRO","P002", E765="Office Supplies","P003", E765="Packaging","P004", E765="Raw Materials","P005")</f>
        <v>P001</v>
      </c>
    </row>
    <row r="766" spans="1:14" x14ac:dyDescent="0.2">
      <c r="A766" s="1" t="s">
        <v>780</v>
      </c>
      <c r="B766" s="2" t="s">
        <v>9</v>
      </c>
      <c r="C766" s="3">
        <v>44880</v>
      </c>
      <c r="D766" s="3">
        <v>44887</v>
      </c>
      <c r="E766" s="2" t="s">
        <v>2</v>
      </c>
      <c r="F766" s="2" t="s">
        <v>24</v>
      </c>
      <c r="G766" s="2">
        <v>645</v>
      </c>
      <c r="H766" s="2">
        <v>35.049999999999997</v>
      </c>
      <c r="I766" s="2">
        <v>30.88</v>
      </c>
      <c r="J766" s="2">
        <v>27</v>
      </c>
      <c r="K766" s="2" t="s">
        <v>4</v>
      </c>
      <c r="L766" s="2" t="str">
        <f t="shared" si="11"/>
        <v>Pending</v>
      </c>
      <c r="M766" t="str" cm="1">
        <f t="array" ref="M766">_xlfn.IFS(B766="Alpha_Inc","S001", B766="Delta_Logistics","S002", B766="Gamma_Co","S003", B766="Beta_Supplies","S004", B766="Epsilon_Group","S005")</f>
        <v>S003</v>
      </c>
      <c r="N766" t="str" cm="1">
        <f t="array" ref="N766">_xlfn.IFS(E766="Electronics","P001", E766="MRO","P002", E766="Office Supplies","P003", E766="Packaging","P004", E766="Raw Materials","P005")</f>
        <v>P003</v>
      </c>
    </row>
    <row r="767" spans="1:14" x14ac:dyDescent="0.2">
      <c r="A767" s="4" t="s">
        <v>781</v>
      </c>
      <c r="B767" s="5" t="s">
        <v>9</v>
      </c>
      <c r="C767" s="6">
        <v>44672</v>
      </c>
      <c r="D767" s="6">
        <v>44685</v>
      </c>
      <c r="E767" s="5" t="s">
        <v>28</v>
      </c>
      <c r="F767" s="5" t="s">
        <v>3</v>
      </c>
      <c r="G767" s="5">
        <v>1953</v>
      </c>
      <c r="H767" s="5">
        <v>68.069999999999993</v>
      </c>
      <c r="I767" s="5">
        <v>62.95</v>
      </c>
      <c r="J767" s="5">
        <v>87</v>
      </c>
      <c r="K767" s="5" t="s">
        <v>4</v>
      </c>
      <c r="L767" s="5" t="str">
        <f t="shared" si="11"/>
        <v>Cancelled</v>
      </c>
      <c r="M767" t="str" cm="1">
        <f t="array" ref="M767">_xlfn.IFS(B767="Alpha_Inc","S001", B767="Delta_Logistics","S002", B767="Gamma_Co","S003", B767="Beta_Supplies","S004", B767="Epsilon_Group","S005")</f>
        <v>S003</v>
      </c>
      <c r="N767" t="str" cm="1">
        <f t="array" ref="N767">_xlfn.IFS(E767="Electronics","P001", E767="MRO","P002", E767="Office Supplies","P003", E767="Packaging","P004", E767="Raw Materials","P005")</f>
        <v>P001</v>
      </c>
    </row>
    <row r="768" spans="1:14" x14ac:dyDescent="0.2">
      <c r="A768" s="1" t="s">
        <v>782</v>
      </c>
      <c r="B768" s="2" t="s">
        <v>9</v>
      </c>
      <c r="C768" s="3">
        <v>45154</v>
      </c>
      <c r="D768" s="3">
        <v>45171</v>
      </c>
      <c r="E768" s="2" t="s">
        <v>28</v>
      </c>
      <c r="F768" s="2" t="s">
        <v>7</v>
      </c>
      <c r="G768" s="2">
        <v>778</v>
      </c>
      <c r="H768" s="2">
        <v>64.17</v>
      </c>
      <c r="I768" s="2">
        <v>61.6</v>
      </c>
      <c r="J768" s="2">
        <v>47</v>
      </c>
      <c r="K768" s="2" t="s">
        <v>4</v>
      </c>
      <c r="L768" s="2" t="str">
        <f t="shared" si="11"/>
        <v>Delivered</v>
      </c>
      <c r="M768" t="str" cm="1">
        <f t="array" ref="M768">_xlfn.IFS(B768="Alpha_Inc","S001", B768="Delta_Logistics","S002", B768="Gamma_Co","S003", B768="Beta_Supplies","S004", B768="Epsilon_Group","S005")</f>
        <v>S003</v>
      </c>
      <c r="N768" t="str" cm="1">
        <f t="array" ref="N768">_xlfn.IFS(E768="Electronics","P001", E768="MRO","P002", E768="Office Supplies","P003", E768="Packaging","P004", E768="Raw Materials","P005")</f>
        <v>P001</v>
      </c>
    </row>
    <row r="769" spans="1:14" x14ac:dyDescent="0.2">
      <c r="A769" s="4" t="s">
        <v>783</v>
      </c>
      <c r="B769" s="5" t="s">
        <v>18</v>
      </c>
      <c r="C769" s="6">
        <v>44588</v>
      </c>
      <c r="D769" s="6">
        <v>44601</v>
      </c>
      <c r="E769" s="5" t="s">
        <v>2</v>
      </c>
      <c r="F769" s="5" t="s">
        <v>7</v>
      </c>
      <c r="G769" s="5">
        <v>1415</v>
      </c>
      <c r="H769" s="5">
        <v>80.19</v>
      </c>
      <c r="I769" s="5">
        <v>78.34</v>
      </c>
      <c r="J769" s="5">
        <v>0</v>
      </c>
      <c r="K769" s="5" t="s">
        <v>4</v>
      </c>
      <c r="L769" s="5" t="str">
        <f t="shared" si="11"/>
        <v>Delivered</v>
      </c>
      <c r="M769" t="str" cm="1">
        <f t="array" ref="M769">_xlfn.IFS(B769="Alpha_Inc","S001", B769="Delta_Logistics","S002", B769="Gamma_Co","S003", B769="Beta_Supplies","S004", B769="Epsilon_Group","S005")</f>
        <v>S005</v>
      </c>
      <c r="N769" t="str" cm="1">
        <f t="array" ref="N769">_xlfn.IFS(E769="Electronics","P001", E769="MRO","P002", E769="Office Supplies","P003", E769="Packaging","P004", E769="Raw Materials","P005")</f>
        <v>P003</v>
      </c>
    </row>
    <row r="770" spans="1:14" x14ac:dyDescent="0.2">
      <c r="A770" s="1" t="s">
        <v>784</v>
      </c>
      <c r="B770" s="2" t="s">
        <v>9</v>
      </c>
      <c r="C770" s="3">
        <v>44881</v>
      </c>
      <c r="D770" s="3">
        <v>44887</v>
      </c>
      <c r="E770" s="2" t="s">
        <v>15</v>
      </c>
      <c r="F770" s="2" t="s">
        <v>7</v>
      </c>
      <c r="G770" s="2">
        <v>446</v>
      </c>
      <c r="H770" s="2">
        <v>20.61</v>
      </c>
      <c r="I770" s="2">
        <v>19.46</v>
      </c>
      <c r="J770" s="2">
        <v>14</v>
      </c>
      <c r="K770" s="2" t="s">
        <v>4</v>
      </c>
      <c r="L770" s="2" t="str">
        <f t="shared" ref="L770:L778" si="12">IF(F770="Delivered", IF(E770="","Date Missing","Delivered"), F770)</f>
        <v>Delivered</v>
      </c>
      <c r="M770" t="str" cm="1">
        <f t="array" ref="M770">_xlfn.IFS(B770="Alpha_Inc","S001", B770="Delta_Logistics","S002", B770="Gamma_Co","S003", B770="Beta_Supplies","S004", B770="Epsilon_Group","S005")</f>
        <v>S003</v>
      </c>
      <c r="N770" t="str" cm="1">
        <f t="array" ref="N770">_xlfn.IFS(E770="Electronics","P001", E770="MRO","P002", E770="Office Supplies","P003", E770="Packaging","P004", E770="Raw Materials","P005")</f>
        <v>P005</v>
      </c>
    </row>
    <row r="771" spans="1:14" x14ac:dyDescent="0.2">
      <c r="A771" s="4" t="s">
        <v>785</v>
      </c>
      <c r="B771" s="5" t="s">
        <v>18</v>
      </c>
      <c r="C771" s="6">
        <v>45151</v>
      </c>
      <c r="D771" s="6">
        <f>Table1[[#This Row],[Order_Date]]+14</f>
        <v>45165</v>
      </c>
      <c r="E771" s="5" t="s">
        <v>2</v>
      </c>
      <c r="F771" s="5" t="s">
        <v>7</v>
      </c>
      <c r="G771" s="5">
        <v>748</v>
      </c>
      <c r="H771" s="5">
        <v>85.95</v>
      </c>
      <c r="I771" s="5">
        <v>79.16</v>
      </c>
      <c r="J771" s="5">
        <v>32</v>
      </c>
      <c r="K771" s="5" t="s">
        <v>4</v>
      </c>
      <c r="L771" s="5" t="str">
        <f t="shared" si="12"/>
        <v>Delivered</v>
      </c>
      <c r="M771" t="str" cm="1">
        <f t="array" ref="M771">_xlfn.IFS(B771="Alpha_Inc","S001", B771="Delta_Logistics","S002", B771="Gamma_Co","S003", B771="Beta_Supplies","S004", B771="Epsilon_Group","S005")</f>
        <v>S005</v>
      </c>
      <c r="N771" t="str" cm="1">
        <f t="array" ref="N771">_xlfn.IFS(E771="Electronics","P001", E771="MRO","P002", E771="Office Supplies","P003", E771="Packaging","P004", E771="Raw Materials","P005")</f>
        <v>P003</v>
      </c>
    </row>
    <row r="772" spans="1:14" x14ac:dyDescent="0.2">
      <c r="A772" s="1" t="s">
        <v>786</v>
      </c>
      <c r="B772" s="2" t="s">
        <v>1</v>
      </c>
      <c r="C772" s="3">
        <v>45255</v>
      </c>
      <c r="D772" s="3">
        <v>45263</v>
      </c>
      <c r="E772" s="2" t="s">
        <v>28</v>
      </c>
      <c r="F772" s="2" t="s">
        <v>24</v>
      </c>
      <c r="G772" s="2">
        <v>1092</v>
      </c>
      <c r="H772" s="2">
        <v>65.17</v>
      </c>
      <c r="I772" s="2">
        <v>63.11</v>
      </c>
      <c r="J772" s="2">
        <v>21</v>
      </c>
      <c r="K772" s="2" t="s">
        <v>4</v>
      </c>
      <c r="L772" s="2" t="str">
        <f t="shared" si="12"/>
        <v>Pending</v>
      </c>
      <c r="M772" t="str" cm="1">
        <f t="array" ref="M772">_xlfn.IFS(B772="Alpha_Inc","S001", B772="Delta_Logistics","S002", B772="Gamma_Co","S003", B772="Beta_Supplies","S004", B772="Epsilon_Group","S005")</f>
        <v>S001</v>
      </c>
      <c r="N772" t="str" cm="1">
        <f t="array" ref="N772">_xlfn.IFS(E772="Electronics","P001", E772="MRO","P002", E772="Office Supplies","P003", E772="Packaging","P004", E772="Raw Materials","P005")</f>
        <v>P001</v>
      </c>
    </row>
    <row r="773" spans="1:14" x14ac:dyDescent="0.2">
      <c r="A773" s="4" t="s">
        <v>787</v>
      </c>
      <c r="B773" s="5" t="s">
        <v>12</v>
      </c>
      <c r="C773" s="6">
        <v>44946</v>
      </c>
      <c r="D773" s="6">
        <v>44959</v>
      </c>
      <c r="E773" s="5" t="s">
        <v>28</v>
      </c>
      <c r="F773" s="5" t="s">
        <v>7</v>
      </c>
      <c r="G773" s="5">
        <v>226</v>
      </c>
      <c r="H773" s="5">
        <v>102.47</v>
      </c>
      <c r="I773" s="5">
        <v>99.16</v>
      </c>
      <c r="J773" s="5">
        <v>28</v>
      </c>
      <c r="K773" s="5" t="s">
        <v>4</v>
      </c>
      <c r="L773" s="5" t="str">
        <f t="shared" si="12"/>
        <v>Delivered</v>
      </c>
      <c r="M773" t="str" cm="1">
        <f t="array" ref="M773">_xlfn.IFS(B773="Alpha_Inc","S001", B773="Delta_Logistics","S002", B773="Gamma_Co","S003", B773="Beta_Supplies","S004", B773="Epsilon_Group","S005")</f>
        <v>S004</v>
      </c>
      <c r="N773" t="str" cm="1">
        <f t="array" ref="N773">_xlfn.IFS(E773="Electronics","P001", E773="MRO","P002", E773="Office Supplies","P003", E773="Packaging","P004", E773="Raw Materials","P005")</f>
        <v>P001</v>
      </c>
    </row>
    <row r="774" spans="1:14" x14ac:dyDescent="0.2">
      <c r="A774" s="1" t="s">
        <v>788</v>
      </c>
      <c r="B774" s="2" t="s">
        <v>6</v>
      </c>
      <c r="C774" s="3">
        <v>44968</v>
      </c>
      <c r="D774" s="3">
        <v>44977</v>
      </c>
      <c r="E774" s="2" t="s">
        <v>28</v>
      </c>
      <c r="F774" s="2" t="s">
        <v>7</v>
      </c>
      <c r="G774" s="2">
        <v>1685</v>
      </c>
      <c r="H774" s="2">
        <v>43.42</v>
      </c>
      <c r="I774" s="2">
        <v>42.24</v>
      </c>
      <c r="J774" s="2">
        <v>262</v>
      </c>
      <c r="K774" s="2" t="s">
        <v>4</v>
      </c>
      <c r="L774" s="2" t="str">
        <f t="shared" si="12"/>
        <v>Delivered</v>
      </c>
      <c r="M774" t="str" cm="1">
        <f t="array" ref="M774">_xlfn.IFS(B774="Alpha_Inc","S001", B774="Delta_Logistics","S002", B774="Gamma_Co","S003", B774="Beta_Supplies","S004", B774="Epsilon_Group","S005")</f>
        <v>S002</v>
      </c>
      <c r="N774" t="str" cm="1">
        <f t="array" ref="N774">_xlfn.IFS(E774="Electronics","P001", E774="MRO","P002", E774="Office Supplies","P003", E774="Packaging","P004", E774="Raw Materials","P005")</f>
        <v>P001</v>
      </c>
    </row>
    <row r="775" spans="1:14" x14ac:dyDescent="0.2">
      <c r="A775" s="4" t="s">
        <v>789</v>
      </c>
      <c r="B775" s="5" t="s">
        <v>1</v>
      </c>
      <c r="C775" s="6">
        <v>44765</v>
      </c>
      <c r="D775" s="6">
        <f>Table1[[#This Row],[Order_Date]]+14</f>
        <v>44779</v>
      </c>
      <c r="E775" s="5" t="s">
        <v>2</v>
      </c>
      <c r="F775" s="5" t="s">
        <v>7</v>
      </c>
      <c r="G775" s="5">
        <v>445</v>
      </c>
      <c r="H775" s="5">
        <v>68.94</v>
      </c>
      <c r="I775" s="5">
        <v>60.35</v>
      </c>
      <c r="J775" s="5">
        <v>7</v>
      </c>
      <c r="K775" s="5" t="s">
        <v>4</v>
      </c>
      <c r="L775" s="5" t="str">
        <f t="shared" si="12"/>
        <v>Delivered</v>
      </c>
      <c r="M775" t="str" cm="1">
        <f t="array" ref="M775">_xlfn.IFS(B775="Alpha_Inc","S001", B775="Delta_Logistics","S002", B775="Gamma_Co","S003", B775="Beta_Supplies","S004", B775="Epsilon_Group","S005")</f>
        <v>S001</v>
      </c>
      <c r="N775" t="str" cm="1">
        <f t="array" ref="N775">_xlfn.IFS(E775="Electronics","P001", E775="MRO","P002", E775="Office Supplies","P003", E775="Packaging","P004", E775="Raw Materials","P005")</f>
        <v>P003</v>
      </c>
    </row>
    <row r="776" spans="1:14" x14ac:dyDescent="0.2">
      <c r="A776" s="1" t="s">
        <v>790</v>
      </c>
      <c r="B776" s="2" t="s">
        <v>9</v>
      </c>
      <c r="C776" s="3">
        <v>44639</v>
      </c>
      <c r="D776" s="3">
        <v>44658</v>
      </c>
      <c r="E776" s="2" t="s">
        <v>15</v>
      </c>
      <c r="F776" s="2" t="s">
        <v>7</v>
      </c>
      <c r="G776" s="2">
        <v>494</v>
      </c>
      <c r="H776" s="2">
        <v>94.82</v>
      </c>
      <c r="I776" s="2">
        <v>81.89</v>
      </c>
      <c r="J776" s="2">
        <v>29</v>
      </c>
      <c r="K776" s="2" t="s">
        <v>4</v>
      </c>
      <c r="L776" s="2" t="str">
        <f t="shared" si="12"/>
        <v>Delivered</v>
      </c>
      <c r="M776" t="str" cm="1">
        <f t="array" ref="M776">_xlfn.IFS(B776="Alpha_Inc","S001", B776="Delta_Logistics","S002", B776="Gamma_Co","S003", B776="Beta_Supplies","S004", B776="Epsilon_Group","S005")</f>
        <v>S003</v>
      </c>
      <c r="N776" t="str" cm="1">
        <f t="array" ref="N776">_xlfn.IFS(E776="Electronics","P001", E776="MRO","P002", E776="Office Supplies","P003", E776="Packaging","P004", E776="Raw Materials","P005")</f>
        <v>P005</v>
      </c>
    </row>
    <row r="777" spans="1:14" x14ac:dyDescent="0.2">
      <c r="A777" s="4" t="s">
        <v>791</v>
      </c>
      <c r="B777" s="5" t="s">
        <v>12</v>
      </c>
      <c r="C777" s="6">
        <v>45168</v>
      </c>
      <c r="D777" s="6">
        <v>45180</v>
      </c>
      <c r="E777" s="5" t="s">
        <v>10</v>
      </c>
      <c r="F777" s="5" t="s">
        <v>7</v>
      </c>
      <c r="G777" s="5">
        <v>1306</v>
      </c>
      <c r="H777" s="5">
        <v>21.05</v>
      </c>
      <c r="I777" s="5">
        <v>18.27</v>
      </c>
      <c r="J777" s="5">
        <v>128</v>
      </c>
      <c r="K777" s="5" t="s">
        <v>4</v>
      </c>
      <c r="L777" s="5" t="str">
        <f t="shared" si="12"/>
        <v>Delivered</v>
      </c>
      <c r="M777" t="str" cm="1">
        <f t="array" ref="M777">_xlfn.IFS(B777="Alpha_Inc","S001", B777="Delta_Logistics","S002", B777="Gamma_Co","S003", B777="Beta_Supplies","S004", B777="Epsilon_Group","S005")</f>
        <v>S004</v>
      </c>
      <c r="N777" t="str" cm="1">
        <f t="array" ref="N777">_xlfn.IFS(E777="Electronics","P001", E777="MRO","P002", E777="Office Supplies","P003", E777="Packaging","P004", E777="Raw Materials","P005")</f>
        <v>P002</v>
      </c>
    </row>
    <row r="778" spans="1:14" x14ac:dyDescent="0.2">
      <c r="A778" s="1" t="s">
        <v>792</v>
      </c>
      <c r="B778" s="2" t="s">
        <v>12</v>
      </c>
      <c r="C778" s="3">
        <v>45269</v>
      </c>
      <c r="D778" s="3">
        <v>45271</v>
      </c>
      <c r="E778" s="2" t="s">
        <v>2</v>
      </c>
      <c r="F778" s="2" t="s">
        <v>7</v>
      </c>
      <c r="G778" s="2">
        <v>1988</v>
      </c>
      <c r="H778" s="2">
        <v>105.2</v>
      </c>
      <c r="I778" s="2">
        <v>93.23</v>
      </c>
      <c r="J778" s="2">
        <v>187</v>
      </c>
      <c r="K778" s="2" t="s">
        <v>4</v>
      </c>
      <c r="L778" s="2" t="str">
        <f t="shared" si="12"/>
        <v>Delivered</v>
      </c>
      <c r="M778" t="str" cm="1">
        <f t="array" ref="M778">_xlfn.IFS(B778="Alpha_Inc","S001", B778="Delta_Logistics","S002", B778="Gamma_Co","S003", B778="Beta_Supplies","S004", B778="Epsilon_Group","S005")</f>
        <v>S004</v>
      </c>
      <c r="N778" t="str" cm="1">
        <f t="array" ref="N778">_xlfn.IFS(E778="Electronics","P001", E778="MRO","P002", E778="Office Supplies","P003", E778="Packaging","P004", E778="Raw Materials","P005")</f>
        <v>P003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A6F81-CBF3-4E28-A737-33B0BF794A43}">
  <dimension ref="A1:J6"/>
  <sheetViews>
    <sheetView workbookViewId="0">
      <selection activeCell="A3" sqref="A3"/>
    </sheetView>
  </sheetViews>
  <sheetFormatPr baseColWidth="10" defaultColWidth="8.83203125" defaultRowHeight="15" x14ac:dyDescent="0.2"/>
  <cols>
    <col min="1" max="1" width="10" bestFit="1" customWidth="1"/>
    <col min="2" max="2" width="13.83203125" bestFit="1" customWidth="1"/>
    <col min="3" max="3" width="13.83203125" customWidth="1"/>
    <col min="4" max="4" width="13.83203125" bestFit="1" customWidth="1"/>
    <col min="5" max="5" width="17.5" bestFit="1" customWidth="1"/>
    <col min="6" max="6" width="14.33203125" bestFit="1" customWidth="1"/>
    <col min="7" max="7" width="17" bestFit="1" customWidth="1"/>
    <col min="8" max="8" width="14.5" bestFit="1" customWidth="1"/>
    <col min="9" max="9" width="17.6640625" bestFit="1" customWidth="1"/>
    <col min="10" max="10" width="11.33203125" bestFit="1" customWidth="1"/>
    <col min="11" max="11" width="21" bestFit="1" customWidth="1"/>
    <col min="12" max="12" width="11.1640625" customWidth="1"/>
  </cols>
  <sheetData>
    <row r="1" spans="1:10" x14ac:dyDescent="0.2">
      <c r="A1" t="s">
        <v>827</v>
      </c>
      <c r="B1" t="s">
        <v>793</v>
      </c>
      <c r="C1" t="s">
        <v>810</v>
      </c>
      <c r="D1" t="s">
        <v>794</v>
      </c>
      <c r="E1" t="s">
        <v>795</v>
      </c>
      <c r="F1" t="s">
        <v>796</v>
      </c>
      <c r="G1" t="s">
        <v>797</v>
      </c>
      <c r="H1" t="s">
        <v>798</v>
      </c>
      <c r="I1" t="s">
        <v>799</v>
      </c>
      <c r="J1" t="s">
        <v>800</v>
      </c>
    </row>
    <row r="2" spans="1:10" x14ac:dyDescent="0.2">
      <c r="A2" t="str" cm="1">
        <f t="array" ref="A2:A6">_xlfn.UNIQUE(Table1[Supplier_Id])</f>
        <v>S001</v>
      </c>
      <c r="B2" t="str" cm="1">
        <f t="array" ref="B2:B6">_xlfn.UNIQUE(Table1[Supplier])</f>
        <v>Alpha_Inc</v>
      </c>
      <c r="C2" t="s">
        <v>811</v>
      </c>
      <c r="D2">
        <f>COUNTIF(Table1[Supplier],B2)</f>
        <v>141</v>
      </c>
      <c r="E2">
        <f>COUNTIFS(Table1[Supplier],Table1[[#This Row],[Supplier]],Table1[Order_Status],"Delivered")</f>
        <v>107</v>
      </c>
      <c r="F2" s="7">
        <f>E2/D2</f>
        <v>0.75886524822695034</v>
      </c>
      <c r="G2">
        <f>AVERAGEIF(Table1[Supplier],B2,Table1[Defective_Units])</f>
        <v>19.269503546099291</v>
      </c>
      <c r="H2" s="7">
        <f>1-(SUMIF(Table1[Supplier],B2,Table1[Defective_Units])/SUMIF(Table1[Supplier],B2,Table1[Quantity]))</f>
        <v>0.98193652186631564</v>
      </c>
      <c r="I2" s="8">
        <f>(COUNTIFS(Table1[Supplier],B2,Table1[Compliance],"yes")/D2)</f>
        <v>0.93617021276595747</v>
      </c>
      <c r="J2">
        <f>ROUND(((F2*0.5) + (H2*0.3) + (I2*0.2)) * 5, 1)</f>
        <v>4.3</v>
      </c>
    </row>
    <row r="3" spans="1:10" x14ac:dyDescent="0.2">
      <c r="A3" t="str">
        <v>S002</v>
      </c>
      <c r="B3" t="str">
        <v>Delta_Logistics</v>
      </c>
      <c r="C3" t="s">
        <v>812</v>
      </c>
      <c r="D3">
        <f>COUNTIF(Table1[Supplier],B3)</f>
        <v>171</v>
      </c>
      <c r="E3">
        <f>COUNTIFS(Table1[Supplier],Table1[[#This Row],[Supplier]],Table1[Order_Status],"Delivered")</f>
        <v>120</v>
      </c>
      <c r="F3" s="7">
        <f t="shared" ref="F3:F6" si="0">E3/D3</f>
        <v>0.70175438596491224</v>
      </c>
      <c r="G3">
        <f>AVERAGEIF(Table1[Supplier],B3,Table1[Defective_Units])</f>
        <v>115.07602339181287</v>
      </c>
      <c r="H3" s="7">
        <f>1-(SUMIF(Table1[Supplier],B3,Table1[Defective_Units])/SUMIF(Table1[Supplier],B3,Table1[Quantity]))</f>
        <v>0.89167198819721227</v>
      </c>
      <c r="I3" s="8">
        <f>(COUNTIFS(Table1[Supplier],B3,Table1[Compliance],"yes")/D3)</f>
        <v>0.60818713450292394</v>
      </c>
      <c r="J3">
        <f t="shared" ref="J3:J6" si="1">ROUND(((F3*0.5) + (H3*0.3) + (I3*0.2)) * 5, 1)</f>
        <v>3.7</v>
      </c>
    </row>
    <row r="4" spans="1:10" x14ac:dyDescent="0.2">
      <c r="A4" t="str">
        <v>S003</v>
      </c>
      <c r="B4" t="str">
        <v>Gamma_Co</v>
      </c>
      <c r="C4" t="s">
        <v>813</v>
      </c>
      <c r="D4">
        <f>COUNTIF(Table1[Supplier],B4)</f>
        <v>143</v>
      </c>
      <c r="E4">
        <f>COUNTIFS(Table1[Supplier],Table1[[#This Row],[Supplier]],Table1[Order_Status],"Delivered")</f>
        <v>103</v>
      </c>
      <c r="F4" s="7">
        <f t="shared" si="0"/>
        <v>0.72027972027972031</v>
      </c>
      <c r="G4">
        <f>AVERAGEIF(Table1[Supplier],B4,Table1[Defective_Units])</f>
        <v>49.188811188811187</v>
      </c>
      <c r="H4" s="7">
        <f>1-(SUMIF(Table1[Supplier],B4,Table1[Defective_Units])/SUMIF(Table1[Supplier],B4,Table1[Quantity]))</f>
        <v>0.95545733174599157</v>
      </c>
      <c r="I4" s="8">
        <f>(COUNTIFS(Table1[Supplier],B4,Table1[Compliance],"yes")/D4)</f>
        <v>0.8601398601398601</v>
      </c>
      <c r="J4">
        <f t="shared" si="1"/>
        <v>4.0999999999999996</v>
      </c>
    </row>
    <row r="5" spans="1:10" x14ac:dyDescent="0.2">
      <c r="A5" t="str">
        <v>S004</v>
      </c>
      <c r="B5" t="str">
        <v>Beta_Supplies</v>
      </c>
      <c r="C5" t="s">
        <v>814</v>
      </c>
      <c r="D5">
        <f>COUNTIF(Table1[Supplier],B5)</f>
        <v>156</v>
      </c>
      <c r="E5">
        <f>COUNTIFS(Table1[Supplier],Table1[[#This Row],[Supplier]],Table1[Order_Status],"Delivered")</f>
        <v>110</v>
      </c>
      <c r="F5" s="7">
        <f t="shared" si="0"/>
        <v>0.70512820512820518</v>
      </c>
      <c r="G5">
        <f>AVERAGEIF(Table1[Supplier],B5,Table1[Defective_Units])</f>
        <v>88.705128205128204</v>
      </c>
      <c r="H5" s="7">
        <f>1-(SUMIF(Table1[Supplier],B5,Table1[Defective_Units])/SUMIF(Table1[Supplier],B5,Table1[Quantity]))</f>
        <v>0.92334197522657269</v>
      </c>
      <c r="I5" s="8">
        <f>(COUNTIFS(Table1[Supplier],B5,Table1[Compliance],"yes")/D5)</f>
        <v>0.75641025641025639</v>
      </c>
      <c r="J5">
        <f t="shared" si="1"/>
        <v>3.9</v>
      </c>
    </row>
    <row r="6" spans="1:10" x14ac:dyDescent="0.2">
      <c r="A6" t="str">
        <v>S005</v>
      </c>
      <c r="B6" t="str">
        <v>Epsilon_Group</v>
      </c>
      <c r="C6" t="s">
        <v>815</v>
      </c>
      <c r="D6">
        <f>COUNTIF(Table1[Supplier],B6)</f>
        <v>166</v>
      </c>
      <c r="E6">
        <f>COUNTIFS(Table1[Supplier],Table1[[#This Row],[Supplier]],Table1[Order_Status],"Delivered")</f>
        <v>120</v>
      </c>
      <c r="F6" s="7">
        <f t="shared" si="0"/>
        <v>0.72289156626506024</v>
      </c>
      <c r="G6">
        <f>AVERAGEIF(Table1[Supplier],B6,Table1[Defective_Units])</f>
        <v>28.204819277108435</v>
      </c>
      <c r="H6" s="7">
        <f>1-(SUMIF(Table1[Supplier],B6,Table1[Defective_Units])/SUMIF(Table1[Supplier],B6,Table1[Quantity]))</f>
        <v>0.97399654546161407</v>
      </c>
      <c r="I6" s="8">
        <f>(COUNTIFS(Table1[Supplier],B6,Table1[Compliance],"yes")/D6)</f>
        <v>0.98192771084337349</v>
      </c>
      <c r="J6">
        <f t="shared" si="1"/>
        <v>4.3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EACA6-1794-4A04-8F9F-93327F18F6B7}">
  <dimension ref="A1:D6"/>
  <sheetViews>
    <sheetView workbookViewId="0">
      <selection activeCell="D2" sqref="D2:D6"/>
    </sheetView>
  </sheetViews>
  <sheetFormatPr baseColWidth="10" defaultColWidth="8.83203125" defaultRowHeight="15" x14ac:dyDescent="0.2"/>
  <cols>
    <col min="1" max="1" width="10.1640625" bestFit="1" customWidth="1"/>
    <col min="2" max="2" width="13.1640625" bestFit="1" customWidth="1"/>
    <col min="3" max="3" width="12" bestFit="1" customWidth="1"/>
    <col min="4" max="4" width="18.83203125" bestFit="1" customWidth="1"/>
  </cols>
  <sheetData>
    <row r="1" spans="1:4" ht="16" x14ac:dyDescent="0.2">
      <c r="A1" s="9" t="s">
        <v>801</v>
      </c>
      <c r="B1" s="9" t="s">
        <v>802</v>
      </c>
      <c r="C1" s="9" t="s">
        <v>803</v>
      </c>
      <c r="D1" s="9" t="s">
        <v>804</v>
      </c>
    </row>
    <row r="2" spans="1:4" x14ac:dyDescent="0.2">
      <c r="A2" t="s">
        <v>805</v>
      </c>
      <c r="B2" t="s">
        <v>2</v>
      </c>
      <c r="C2">
        <f>AVERAGEIF(Table1[Item_Category], B2,Table1[Unit_Price])</f>
        <v>60.634655172413808</v>
      </c>
      <c r="D2" s="10">
        <f>AVERAGEIF(Table1[Item_Category],B2,Table1[Negotiated_Price])</f>
        <v>56.029195402298853</v>
      </c>
    </row>
    <row r="3" spans="1:4" x14ac:dyDescent="0.2">
      <c r="A3" t="s">
        <v>806</v>
      </c>
      <c r="B3" t="s">
        <v>10</v>
      </c>
      <c r="C3">
        <f>AVERAGEIF(Table1[Item_Category], B3,Table1[Unit_Price])</f>
        <v>60.489146341463396</v>
      </c>
      <c r="D3" s="10">
        <f>AVERAGEIF(Table1[Item_Category],B3,Table1[Negotiated_Price])</f>
        <v>55.571280487804884</v>
      </c>
    </row>
    <row r="4" spans="1:4" x14ac:dyDescent="0.2">
      <c r="A4" t="s">
        <v>807</v>
      </c>
      <c r="B4" t="s">
        <v>13</v>
      </c>
      <c r="C4">
        <f>AVERAGEIF(Table1[Item_Category], B4,Table1[Unit_Price])</f>
        <v>53.776689189189192</v>
      </c>
      <c r="D4" s="10">
        <f>AVERAGEIF(Table1[Item_Category],B4,Table1[Negotiated_Price])</f>
        <v>49.227702702702736</v>
      </c>
    </row>
    <row r="5" spans="1:4" x14ac:dyDescent="0.2">
      <c r="A5" t="s">
        <v>808</v>
      </c>
      <c r="B5" t="s">
        <v>15</v>
      </c>
      <c r="C5">
        <f>AVERAGEIF(Table1[Item_Category], B5,Table1[Unit_Price])</f>
        <v>60.247410071942468</v>
      </c>
      <c r="D5" s="10">
        <f>AVERAGEIF(Table1[Item_Category],B5,Table1[Negotiated_Price])</f>
        <v>55.553812949640303</v>
      </c>
    </row>
    <row r="6" spans="1:4" x14ac:dyDescent="0.2">
      <c r="A6" t="s">
        <v>809</v>
      </c>
      <c r="B6" t="s">
        <v>28</v>
      </c>
      <c r="C6">
        <f>AVERAGEIF(Table1[Item_Category], B6,Table1[Unit_Price])</f>
        <v>55.806184210526311</v>
      </c>
      <c r="D6" s="10">
        <f>AVERAGEIF(Table1[Item_Category],B6,Table1[Negotiated_Price])</f>
        <v>51.473223684210545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Supplier_rating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nani</dc:creator>
  <cp:lastModifiedBy>abdullahhawlather01@hotmail.com</cp:lastModifiedBy>
  <dcterms:created xsi:type="dcterms:W3CDTF">2026-03-20T17:33:19Z</dcterms:created>
  <dcterms:modified xsi:type="dcterms:W3CDTF">2026-09-26T19:42:34Z</dcterms:modified>
</cp:coreProperties>
</file>