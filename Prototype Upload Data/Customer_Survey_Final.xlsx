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bdullahhawlather/Desktop/3.2/Case_Study/Dataset/Prototype Upload Data/"/>
    </mc:Choice>
  </mc:AlternateContent>
  <xr:revisionPtr revIDLastSave="0" documentId="13_ncr:1_{60DB0D2E-376A-8947-8818-30556BB97E18}" xr6:coauthVersionLast="47" xr6:coauthVersionMax="47" xr10:uidLastSave="{00000000-0000-0000-0000-000000000000}"/>
  <bookViews>
    <workbookView xWindow="0" yWindow="680" windowWidth="29400" windowHeight="18440" xr2:uid="{73E2323F-2B73-9640-9E01-C1682B8846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 a="1"/>
  <c r="B2" i="1" s="1"/>
  <c r="B3" i="1" a="1"/>
  <c r="B3" i="1" s="1"/>
  <c r="B4" i="1" a="1"/>
  <c r="B4" i="1" s="1"/>
  <c r="B5" i="1" a="1"/>
  <c r="B5" i="1" s="1"/>
  <c r="B6" i="1" a="1"/>
  <c r="B6" i="1" s="1"/>
  <c r="B7" i="1" a="1"/>
  <c r="B7" i="1" s="1"/>
  <c r="B8" i="1" a="1"/>
  <c r="B8" i="1" s="1"/>
  <c r="B9" i="1" a="1"/>
  <c r="B9" i="1" s="1"/>
  <c r="B10" i="1" a="1"/>
  <c r="B10" i="1" s="1"/>
  <c r="B11" i="1" a="1"/>
  <c r="B11" i="1" s="1"/>
  <c r="B12" i="1" a="1"/>
  <c r="B12" i="1"/>
  <c r="B13" i="1" a="1"/>
  <c r="B13" i="1"/>
  <c r="B14" i="1" a="1"/>
  <c r="B14" i="1" s="1"/>
  <c r="B15" i="1" a="1"/>
  <c r="B15" i="1" s="1"/>
  <c r="B16" i="1" a="1"/>
  <c r="B16" i="1"/>
  <c r="B17" i="1" a="1"/>
  <c r="B17" i="1" s="1"/>
  <c r="B18" i="1" a="1"/>
  <c r="B18" i="1" s="1"/>
  <c r="B19" i="1" a="1"/>
  <c r="B19" i="1" s="1"/>
  <c r="B20" i="1" a="1"/>
  <c r="B20" i="1" s="1"/>
  <c r="B21" i="1" a="1"/>
  <c r="B21" i="1" s="1"/>
  <c r="B22" i="1" a="1"/>
  <c r="B22" i="1" s="1"/>
  <c r="B23" i="1" a="1"/>
  <c r="B23" i="1" s="1"/>
  <c r="B24" i="1" a="1"/>
  <c r="B24" i="1" s="1"/>
  <c r="B25" i="1" a="1"/>
  <c r="B25" i="1"/>
  <c r="B26" i="1" a="1"/>
  <c r="B26" i="1" s="1"/>
  <c r="B27" i="1" a="1"/>
  <c r="B27" i="1"/>
  <c r="B28" i="1" a="1"/>
  <c r="B28" i="1" s="1"/>
  <c r="B29" i="1" a="1"/>
  <c r="B29" i="1" s="1"/>
  <c r="B30" i="1" a="1"/>
  <c r="B30" i="1" s="1"/>
  <c r="B31" i="1" a="1"/>
  <c r="B31" i="1" s="1"/>
  <c r="B32" i="1" a="1"/>
  <c r="B32" i="1" s="1"/>
  <c r="B33" i="1" a="1"/>
  <c r="B33" i="1" s="1"/>
  <c r="B34" i="1" a="1"/>
  <c r="B34" i="1" s="1"/>
  <c r="B35" i="1" a="1"/>
  <c r="B35" i="1"/>
  <c r="B36" i="1" a="1"/>
  <c r="B36" i="1"/>
  <c r="B37" i="1" a="1"/>
  <c r="B37" i="1" s="1"/>
  <c r="B38" i="1" a="1"/>
  <c r="B38" i="1" s="1"/>
  <c r="B39" i="1" a="1"/>
  <c r="B39" i="1" s="1"/>
  <c r="B40" i="1" a="1"/>
  <c r="B40" i="1" s="1"/>
  <c r="B41" i="1" a="1"/>
  <c r="B41" i="1"/>
  <c r="B42" i="1" a="1"/>
  <c r="B42" i="1" s="1"/>
  <c r="B43" i="1" a="1"/>
  <c r="B43" i="1" s="1"/>
  <c r="B44" i="1" a="1"/>
  <c r="B44" i="1"/>
  <c r="B45" i="1" a="1"/>
  <c r="B45" i="1" s="1"/>
  <c r="B46" i="1" a="1"/>
  <c r="B46" i="1" s="1"/>
  <c r="B47" i="1" a="1"/>
  <c r="B47" i="1"/>
  <c r="B48" i="1" a="1"/>
  <c r="B48" i="1" s="1"/>
  <c r="B49" i="1" a="1"/>
  <c r="B49" i="1" s="1"/>
  <c r="B50" i="1" a="1"/>
  <c r="B50" i="1" s="1"/>
  <c r="B51" i="1" a="1"/>
  <c r="B51" i="1" s="1"/>
  <c r="B52" i="1" a="1"/>
  <c r="B52" i="1" s="1"/>
  <c r="B53" i="1" a="1"/>
  <c r="B53" i="1" s="1"/>
  <c r="B54" i="1" a="1"/>
  <c r="B54" i="1" s="1"/>
  <c r="B55" i="1" a="1"/>
  <c r="B55" i="1"/>
  <c r="B56" i="1" a="1"/>
  <c r="B56" i="1" s="1"/>
  <c r="B57" i="1" a="1"/>
  <c r="B57" i="1" s="1"/>
  <c r="B58" i="1" a="1"/>
  <c r="B58" i="1" s="1"/>
  <c r="B59" i="1" a="1"/>
  <c r="B59" i="1"/>
  <c r="B60" i="1" a="1"/>
  <c r="B60" i="1"/>
  <c r="B61" i="1" a="1"/>
  <c r="B61" i="1" s="1"/>
  <c r="B62" i="1" a="1"/>
  <c r="B62" i="1" s="1"/>
  <c r="B63" i="1" a="1"/>
  <c r="B63" i="1" s="1"/>
  <c r="B64" i="1" a="1"/>
  <c r="B64" i="1" s="1"/>
  <c r="B65" i="1" a="1"/>
  <c r="B65" i="1"/>
  <c r="B66" i="1" a="1"/>
  <c r="B66" i="1" s="1"/>
  <c r="B67" i="1" a="1"/>
  <c r="B67" i="1" s="1"/>
  <c r="B68" i="1" a="1"/>
  <c r="B68" i="1"/>
  <c r="B69" i="1" a="1"/>
  <c r="B69" i="1" s="1"/>
  <c r="B70" i="1" a="1"/>
  <c r="B70" i="1" s="1"/>
  <c r="B71" i="1" a="1"/>
  <c r="B71" i="1"/>
  <c r="B72" i="1" a="1"/>
  <c r="B72" i="1" s="1"/>
  <c r="B73" i="1" a="1"/>
  <c r="B73" i="1" s="1"/>
  <c r="B74" i="1" a="1"/>
  <c r="B74" i="1" s="1"/>
  <c r="B75" i="1" a="1"/>
  <c r="B75" i="1" s="1"/>
  <c r="B76" i="1" a="1"/>
  <c r="B76" i="1" s="1"/>
  <c r="B77" i="1" a="1"/>
  <c r="B77" i="1"/>
  <c r="B78" i="1" a="1"/>
  <c r="B78" i="1" s="1"/>
  <c r="B79" i="1" a="1"/>
  <c r="B79" i="1"/>
  <c r="B80" i="1" a="1"/>
  <c r="B80" i="1" s="1"/>
  <c r="B81" i="1" a="1"/>
  <c r="B81" i="1" s="1"/>
  <c r="B82" i="1" a="1"/>
  <c r="B82" i="1" s="1"/>
  <c r="B83" i="1" a="1"/>
  <c r="B83" i="1" s="1"/>
  <c r="B84" i="1" a="1"/>
  <c r="B84" i="1"/>
  <c r="B85" i="1" a="1"/>
  <c r="B85" i="1"/>
  <c r="B86" i="1" a="1"/>
  <c r="B86" i="1" s="1"/>
  <c r="B87" i="1" a="1"/>
  <c r="B87" i="1"/>
  <c r="B88" i="1" a="1"/>
  <c r="B88" i="1" s="1"/>
  <c r="B89" i="1" a="1"/>
  <c r="B89" i="1"/>
  <c r="B90" i="1" a="1"/>
  <c r="B90" i="1" s="1"/>
  <c r="B91" i="1" a="1"/>
  <c r="B91" i="1" s="1"/>
  <c r="B92" i="1" a="1"/>
  <c r="B92" i="1" s="1"/>
  <c r="B93" i="1" a="1"/>
  <c r="B93" i="1"/>
  <c r="B94" i="1" a="1"/>
  <c r="B94" i="1" s="1"/>
  <c r="B95" i="1" a="1"/>
  <c r="B95" i="1" s="1"/>
  <c r="B96" i="1" a="1"/>
  <c r="B96" i="1" s="1"/>
  <c r="B97" i="1" a="1"/>
  <c r="B97" i="1" s="1"/>
  <c r="B98" i="1" a="1"/>
  <c r="B98" i="1" s="1"/>
  <c r="B99" i="1" a="1"/>
  <c r="B99" i="1"/>
  <c r="B100" i="1" a="1"/>
  <c r="B100" i="1"/>
  <c r="B101" i="1" a="1"/>
  <c r="B101" i="1"/>
  <c r="B102" i="1" a="1"/>
  <c r="B102" i="1" s="1"/>
  <c r="B103" i="1" a="1"/>
  <c r="B103" i="1" s="1"/>
  <c r="B104" i="1" a="1"/>
  <c r="B104" i="1"/>
  <c r="B105" i="1" a="1"/>
  <c r="B105" i="1"/>
  <c r="B106" i="1" a="1"/>
  <c r="B106" i="1" s="1"/>
  <c r="B107" i="1" a="1"/>
  <c r="B107" i="1" s="1"/>
  <c r="B108" i="1" a="1"/>
  <c r="B108" i="1"/>
  <c r="B109" i="1" a="1"/>
  <c r="B109" i="1" s="1"/>
  <c r="B110" i="1" a="1"/>
  <c r="B110" i="1" s="1"/>
  <c r="B111" i="1" a="1"/>
  <c r="B111" i="1"/>
  <c r="B112" i="1" a="1"/>
  <c r="B112" i="1" s="1"/>
  <c r="B113" i="1" a="1"/>
  <c r="B113" i="1"/>
  <c r="B114" i="1" a="1"/>
  <c r="B114" i="1" s="1"/>
  <c r="B115" i="1" a="1"/>
  <c r="B115" i="1" s="1"/>
  <c r="B116" i="1" a="1"/>
  <c r="B116" i="1"/>
  <c r="B117" i="1" a="1"/>
  <c r="B117" i="1"/>
  <c r="B118" i="1" a="1"/>
  <c r="B118" i="1" s="1"/>
  <c r="B119" i="1" a="1"/>
  <c r="B119" i="1"/>
  <c r="B120" i="1" a="1"/>
  <c r="B120" i="1"/>
  <c r="B121" i="1" a="1"/>
  <c r="B121" i="1" s="1"/>
  <c r="B122" i="1" a="1"/>
  <c r="B122" i="1" s="1"/>
  <c r="B123" i="1" a="1"/>
  <c r="B123" i="1" s="1"/>
  <c r="B124" i="1" a="1"/>
  <c r="B124" i="1" s="1"/>
  <c r="B125" i="1" a="1"/>
  <c r="B125" i="1" s="1"/>
  <c r="B126" i="1" a="1"/>
  <c r="B126" i="1" s="1"/>
  <c r="B127" i="1" a="1"/>
  <c r="B127" i="1"/>
  <c r="B128" i="1" a="1"/>
  <c r="B128" i="1" s="1"/>
  <c r="B129" i="1" a="1"/>
  <c r="B129" i="1" s="1"/>
  <c r="B130" i="1" a="1"/>
  <c r="B130" i="1" s="1"/>
  <c r="B131" i="1" a="1"/>
  <c r="B131" i="1" s="1"/>
  <c r="B132" i="1" a="1"/>
  <c r="B132" i="1"/>
  <c r="B133" i="1" a="1"/>
  <c r="B133" i="1" s="1"/>
  <c r="B134" i="1" a="1"/>
  <c r="B134" i="1" s="1"/>
  <c r="B135" i="1" a="1"/>
  <c r="B135" i="1" s="1"/>
  <c r="B136" i="1" a="1"/>
  <c r="B136" i="1" s="1"/>
  <c r="B137" i="1" a="1"/>
  <c r="B137" i="1" s="1"/>
  <c r="B138" i="1" a="1"/>
  <c r="B138" i="1" s="1"/>
  <c r="B139" i="1" a="1"/>
  <c r="B139" i="1"/>
  <c r="B140" i="1" a="1"/>
  <c r="B140" i="1" s="1"/>
  <c r="B141" i="1" a="1"/>
  <c r="B141" i="1" s="1"/>
  <c r="B142" i="1" a="1"/>
  <c r="B142" i="1" s="1"/>
  <c r="B143" i="1" a="1"/>
  <c r="B143" i="1" s="1"/>
  <c r="B144" i="1" a="1"/>
  <c r="B144" i="1" s="1"/>
  <c r="B145" i="1" a="1"/>
  <c r="B145" i="1" s="1"/>
  <c r="B146" i="1" a="1"/>
  <c r="B146" i="1" s="1"/>
  <c r="B147" i="1" a="1"/>
  <c r="B147" i="1"/>
  <c r="B148" i="1" a="1"/>
  <c r="B148" i="1" s="1"/>
  <c r="B149" i="1" a="1"/>
  <c r="B149" i="1" s="1"/>
  <c r="B150" i="1" a="1"/>
  <c r="B150" i="1" s="1"/>
  <c r="B151" i="1" a="1"/>
  <c r="B151" i="1" s="1"/>
  <c r="E145" i="1"/>
  <c r="E146" i="1" s="1"/>
  <c r="E147" i="1" s="1"/>
  <c r="E148" i="1" l="1"/>
  <c r="E149" i="1" l="1"/>
  <c r="E150" i="1"/>
  <c r="E151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<sst xmlns="http://schemas.openxmlformats.org/spreadsheetml/2006/main" count="1060" uniqueCount="168">
  <si>
    <t>Consumer</t>
  </si>
  <si>
    <t>Purchase Frequency</t>
  </si>
  <si>
    <t>Previous Purchase</t>
  </si>
  <si>
    <t>Price Sensitivity</t>
  </si>
  <si>
    <t>Promotion Response</t>
  </si>
  <si>
    <t>Satisfaction</t>
  </si>
  <si>
    <t>Repurchase Intention</t>
  </si>
  <si>
    <t>Product_Category</t>
  </si>
  <si>
    <t>Electronics</t>
  </si>
  <si>
    <t>Raw Materials</t>
  </si>
  <si>
    <t>Office Supplies</t>
  </si>
  <si>
    <t>C001</t>
  </si>
  <si>
    <t>C002</t>
  </si>
  <si>
    <t>C003</t>
  </si>
  <si>
    <t>C004</t>
  </si>
  <si>
    <t>C005</t>
  </si>
  <si>
    <t>C006</t>
  </si>
  <si>
    <t>C007</t>
  </si>
  <si>
    <t>C008</t>
  </si>
  <si>
    <t>C009</t>
  </si>
  <si>
    <t>C010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</si>
  <si>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</si>
  <si>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</si>
  <si>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</si>
  <si>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</si>
  <si>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</si>
  <si>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</si>
  <si>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</si>
  <si>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</si>
  <si>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</si>
  <si>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</si>
  <si>
    <t>C021</t>
  </si>
  <si>
    <t>C022</t>
  </si>
  <si>
    <t>C023</t>
  </si>
  <si>
    <t>C024</t>
  </si>
  <si>
    <t>C025</t>
  </si>
  <si>
    <t>C026</t>
  </si>
  <si>
    <t>C027</t>
  </si>
  <si>
    <t>C028</t>
  </si>
  <si>
    <t>C029</t>
  </si>
  <si>
    <t>C030</t>
  </si>
  <si>
    <t>C031</t>
  </si>
  <si>
    <t>C032</t>
  </si>
  <si>
    <t>C033</t>
  </si>
  <si>
    <t>C034</t>
  </si>
  <si>
    <t>C035</t>
  </si>
  <si>
    <t>C036</t>
  </si>
  <si>
    <t>C037</t>
  </si>
  <si>
    <t>C038</t>
  </si>
  <si>
    <t>C039</t>
  </si>
  <si>
    <t>C040</t>
  </si>
  <si>
    <t>C041</t>
  </si>
  <si>
    <t>C042</t>
  </si>
  <si>
    <t>C043</t>
  </si>
  <si>
    <t>C044</t>
  </si>
  <si>
    <t>C045</t>
  </si>
  <si>
    <t>C046</t>
  </si>
  <si>
    <t>C047</t>
  </si>
  <si>
    <t>C048</t>
  </si>
  <si>
    <t>C049</t>
  </si>
  <si>
    <t>C050</t>
  </si>
  <si>
    <t>C051</t>
  </si>
  <si>
    <t>C052</t>
  </si>
  <si>
    <t>C053</t>
  </si>
  <si>
    <t>C054</t>
  </si>
  <si>
    <t>C055</t>
  </si>
  <si>
    <t>C056</t>
  </si>
  <si>
    <t>C057</t>
  </si>
  <si>
    <t>C058</t>
  </si>
  <si>
    <t>C059</t>
  </si>
  <si>
    <t>C060</t>
  </si>
  <si>
    <t>C061</t>
  </si>
  <si>
    <t>C062</t>
  </si>
  <si>
    <t>C063</t>
  </si>
  <si>
    <t>C064</t>
  </si>
  <si>
    <t>C065</t>
  </si>
  <si>
    <t>C066</t>
  </si>
  <si>
    <t>C067</t>
  </si>
  <si>
    <t>C068</t>
  </si>
  <si>
    <t>C069</t>
  </si>
  <si>
    <t>C070</t>
  </si>
  <si>
    <t>C071</t>
  </si>
  <si>
    <t>C072</t>
  </si>
  <si>
    <t>C073</t>
  </si>
  <si>
    <t>C074</t>
  </si>
  <si>
    <t>C075</t>
  </si>
  <si>
    <t>C076</t>
  </si>
  <si>
    <t>C077</t>
  </si>
  <si>
    <t>C078</t>
  </si>
  <si>
    <t>C079</t>
  </si>
  <si>
    <t>C080</t>
  </si>
  <si>
    <t>C081</t>
  </si>
  <si>
    <t>C082</t>
  </si>
  <si>
    <t>C083</t>
  </si>
  <si>
    <t>C084</t>
  </si>
  <si>
    <t>C085</t>
  </si>
  <si>
    <t>C086</t>
  </si>
  <si>
    <t>C087</t>
  </si>
  <si>
    <t>C088</t>
  </si>
  <si>
    <t>C089</t>
  </si>
  <si>
    <t>C090</t>
  </si>
  <si>
    <t>C091</t>
  </si>
  <si>
    <t>C092</t>
  </si>
  <si>
    <t>C093</t>
  </si>
  <si>
    <t>C094</t>
  </si>
  <si>
    <t>C095</t>
  </si>
  <si>
    <t>C096</t>
  </si>
  <si>
    <t>C097</t>
  </si>
  <si>
    <t>C098</t>
  </si>
  <si>
    <t>C099</t>
  </si>
  <si>
    <t>C100</t>
  </si>
  <si>
    <t>C101</t>
  </si>
  <si>
    <t>C102</t>
  </si>
  <si>
    <t>C103</t>
  </si>
  <si>
    <t>C104</t>
  </si>
  <si>
    <t>C105</t>
  </si>
  <si>
    <t>C106</t>
  </si>
  <si>
    <t>C107</t>
  </si>
  <si>
    <t>C108</t>
  </si>
  <si>
    <t>C109</t>
  </si>
  <si>
    <t>C110</t>
  </si>
  <si>
    <t>C111</t>
  </si>
  <si>
    <t>C112</t>
  </si>
  <si>
    <t>C113</t>
  </si>
  <si>
    <t>C114</t>
  </si>
  <si>
    <t>C115</t>
  </si>
  <si>
    <t>C116</t>
  </si>
  <si>
    <t>C117</t>
  </si>
  <si>
    <t>C118</t>
  </si>
  <si>
    <t>C119</t>
  </si>
  <si>
    <t>C120</t>
  </si>
  <si>
    <t>C121</t>
  </si>
  <si>
    <t>C122</t>
  </si>
  <si>
    <t>C123</t>
  </si>
  <si>
    <t>C124</t>
  </si>
  <si>
    <t>C125</t>
  </si>
  <si>
    <t>C126</t>
  </si>
  <si>
    <t>C127</t>
  </si>
  <si>
    <t>C128</t>
  </si>
  <si>
    <t>C129</t>
  </si>
  <si>
    <t>C130</t>
  </si>
  <si>
    <t>C131</t>
  </si>
  <si>
    <t>C132</t>
  </si>
  <si>
    <t>C133</t>
  </si>
  <si>
    <t>C134</t>
  </si>
  <si>
    <t>C135</t>
  </si>
  <si>
    <t>C136</t>
  </si>
  <si>
    <t>C137</t>
  </si>
  <si>
    <t>C138</t>
  </si>
  <si>
    <t>C139</t>
  </si>
  <si>
    <t>C140</t>
  </si>
  <si>
    <t>C141</t>
  </si>
  <si>
    <t>C142</t>
  </si>
  <si>
    <t>C143</t>
  </si>
  <si>
    <t>C144</t>
  </si>
  <si>
    <t>C145</t>
  </si>
  <si>
    <t>C146</t>
  </si>
  <si>
    <t>C147</t>
  </si>
  <si>
    <t>C148</t>
  </si>
  <si>
    <t>C149</t>
  </si>
  <si>
    <t>C150</t>
  </si>
  <si>
    <t>Medium</t>
  </si>
  <si>
    <t>Low</t>
  </si>
  <si>
    <t>High</t>
  </si>
  <si>
    <t>Packaging</t>
  </si>
  <si>
    <t>MRO</t>
  </si>
  <si>
    <t>Product ID</t>
  </si>
  <si>
    <t>Represents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</si>
</sst>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12"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indent="0" justifyLastLine="0" shrinkToFit="0" readingOrder="0"/>
    </dxf>
    <dxf>
      <numFmt numFmtId="0" formatCode="General"/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4CB94AE-F4B0-3645-8BA8-CC2D68BABAD4}" name="Table1" displayName="Table1" ref="A1:J151" totalsRowShown="0" headerRowDxfId="11" dataDxfId="10">
  <autoFilter ref="A1:J151" xr:uid="{94CB94AE-F4B0-3645-8BA8-CC2D68BABAD4}"/>
  <tableColumns count="10">
    <tableColumn id="1" xr3:uid="{92D780C3-AA15-8A46-9B87-89E6CE440B57}" name="Consumer" dataDxfId="9"/>
    <tableColumn id="10" xr3:uid="{4D515A9E-7C4F-B54B-943A-63F85E2AE2CA}" name="Product ID" dataDxfId="8">
      <calculatedColumnFormula array="1">_xlfn.IFS(C2="Electronics","P001", C2="MRO","P002", C2="Office Supplies","P003", C2="Packaging","P004", C2="Raw Materials","P005")</calculatedColumnFormula>
    </tableColumn>
    <tableColumn id="2" xr3:uid="{0D07DA60-C8EF-7540-B54D-C348706485C8}" name="Product_Category" dataDxfId="7"/>
    <tableColumn id="3" xr3:uid="{12969A93-1B29-E440-881C-2794F00B7FD8}" name="Purchase Frequency" dataDxfId="6"/>
    <tableColumn id="4" xr3:uid="{39891683-AC9E-0A45-80F2-B4F6E4E529AC}" name="Previous Purchase" dataDxfId="5"/>
    <tableColumn id="5" xr3:uid="{D07184DD-8C02-C54F-85BE-6807AEF280D6}" name="Price Sensitivity" dataDxfId="4"/>
    <tableColumn id="6" xr3:uid="{03928EBA-6218-C442-A86C-908C0C08110E}" name="Promotion Response" dataDxfId="3"/>
    <tableColumn id="7" xr3:uid="{3AFCE6CA-8650-514C-AEF4-5EA0AAADB2BE}" name="Satisfaction" dataDxfId="2"/>
    <tableColumn id="8" xr3:uid="{6AC13BFB-6451-5F49-A9EB-B1F2DA1D65E7}" name="Repurchase Intention" dataDxfId="1"/>
    <tableColumn id="9" xr3:uid="{290DB0F9-88DD-AD43-B328-C06F6C2A0FAB}" name="Represents" dataDxfId="0"/>
  </tableColumns>
  <tableStyleInfo name="TableStyleDark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C97B6-2F97-A140-B803-A6A134393F2F}">
  <dimension ref="A1:J151"/>
  <sheetViews>
    <sheetView tabSelected="1" topLeftCell="A121" workbookViewId="0">
      <selection activeCell="L146" sqref="L146"/>
    </sheetView>
  </sheetViews>
  <sheetFormatPr baseColWidth="10" defaultRowHeight="16" x14ac:dyDescent="0.2"/>
  <cols>
    <col min="1" max="1" width="14.33203125" style="1" bestFit="1" customWidth="1"/>
    <col min="2" max="2" width="14.5" style="1" bestFit="1" customWidth="1"/>
    <col min="3" max="3" width="20.5" style="1" bestFit="1" customWidth="1"/>
    <col min="4" max="4" width="22.5" style="1" bestFit="1" customWidth="1"/>
    <col min="5" max="5" width="20.83203125" style="1" bestFit="1" customWidth="1"/>
    <col min="6" max="6" width="19" style="1" bestFit="1" customWidth="1"/>
    <col min="7" max="7" width="23.1640625" style="1" bestFit="1" customWidth="1"/>
    <col min="8" max="8" width="15.83203125" style="1" bestFit="1" customWidth="1"/>
    <col min="9" max="9" width="23.6640625" style="1" bestFit="1" customWidth="1"/>
    <col min="10" max="10" width="14.33203125" style="1" bestFit="1" customWidth="1"/>
    <col min="11" max="16384" width="10.83203125" style="1"/>
  </cols>
  <sheetData>
    <row r="1" spans="1:10" x14ac:dyDescent="0.2">
      <c r="A1" s="1" t="s">
        <v>0</v>
      </c>
      <c r="B1" s="1" t="s">
        <v>166</v>
      </c>
      <c r="C1" s="1" t="s">
        <v>7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4" t="s">
        <v>167</v>
      </c>
    </row>
    <row r="2" spans="1:10" x14ac:dyDescent="0.2">
      <c r="A2" s="1" t="s">
        <v>11</v>
      </c>
      <c r="B2" s="1" t="str" cm="1">
        <f t="array" ref="B2">_xlfn.IFS(C2="Electronics","P001", C2="MRO","P002", C2="Office Supplies","P003", C2="Packaging","P004", C2="Raw Materials","P005")</f>
        <v>P001</v>
      </c>
      <c r="C2" s="2" t="s">
        <v>8</v>
      </c>
      <c r="D2" s="1" t="s">
        <v>161</v>
      </c>
      <c r="E2" s="3">
        <v>300.5</v>
      </c>
      <c r="F2" s="1" t="s">
        <v>163</v>
      </c>
      <c r="G2" s="1" t="s">
        <v>162</v>
      </c>
      <c r="H2" s="1" t="s">
        <v>163</v>
      </c>
      <c r="I2" s="1" t="s">
        <v>163</v>
      </c>
      <c r="J2" s="1">
        <v>1</v>
      </c>
    </row>
    <row r="3" spans="1:10" x14ac:dyDescent="0.2">
      <c r="A3" s="1" t="s">
        <v>12</v>
      </c>
      <c r="B3" s="1" t="str" cm="1">
        <f t="array" ref="B3">_xlfn.IFS(C3="Electronics","P001", C3="MRO","P002", C3="Office Supplies","P003", C3="Packaging","P004", C3="Raw Materials","P005")</f>
        <v>P001</v>
      </c>
      <c r="C3" s="2" t="s">
        <v>8</v>
      </c>
      <c r="D3" s="1" t="s">
        <v>162</v>
      </c>
      <c r="E3" s="3">
        <v>300.5</v>
      </c>
      <c r="F3" s="1" t="s">
        <v>162</v>
      </c>
      <c r="G3" s="1" t="s">
        <v>163</v>
      </c>
      <c r="H3" s="1" t="s">
        <v>161</v>
      </c>
      <c r="I3" s="1" t="s">
        <v>163</v>
      </c>
      <c r="J3" s="1">
        <v>1</v>
      </c>
    </row>
    <row r="4" spans="1:10" x14ac:dyDescent="0.2">
      <c r="A4" s="1" t="s">
        <v>13</v>
      </c>
      <c r="B4" s="1" t="str" cm="1">
        <f t="array" ref="B4">_xlfn.IFS(C4="Electronics","P001", C4="MRO","P002", C4="Office Supplies","P003", C4="Packaging","P004", C4="Raw Materials","P005")</f>
        <v>P004</v>
      </c>
      <c r="C4" s="2" t="s">
        <v>164</v>
      </c>
      <c r="D4" s="1" t="s">
        <v>163</v>
      </c>
      <c r="E4" s="3">
        <v>300.5</v>
      </c>
      <c r="F4" s="1" t="s">
        <v>162</v>
      </c>
      <c r="G4" s="1" t="s">
        <v>161</v>
      </c>
      <c r="H4" s="1" t="s">
        <v>163</v>
      </c>
      <c r="I4" s="1" t="s">
        <v>163</v>
      </c>
      <c r="J4" s="1">
        <v>1</v>
      </c>
    </row>
    <row r="5" spans="1:10" x14ac:dyDescent="0.2">
      <c r="A5" s="1" t="s">
        <v>14</v>
      </c>
      <c r="B5" s="1" t="str" cm="1">
        <f t="array" ref="B5">_xlfn.IFS(C5="Electronics","P001", C5="MRO","P002", C5="Office Supplies","P003", C5="Packaging","P004", C5="Raw Materials","P005")</f>
        <v>P001</v>
      </c>
      <c r="C5" s="2" t="s">
        <v>8</v>
      </c>
      <c r="D5" s="1" t="s">
        <v>161</v>
      </c>
      <c r="E5" s="3">
        <v>50.5</v>
      </c>
      <c r="F5" s="1" t="s">
        <v>163</v>
      </c>
      <c r="G5" s="1" t="s">
        <v>162</v>
      </c>
      <c r="H5" s="1" t="s">
        <v>161</v>
      </c>
      <c r="I5" s="1" t="s">
        <v>163</v>
      </c>
      <c r="J5" s="1">
        <v>1</v>
      </c>
    </row>
    <row r="6" spans="1:10" x14ac:dyDescent="0.2">
      <c r="A6" s="1" t="s">
        <v>15</v>
      </c>
      <c r="B6" s="1" t="str" cm="1">
        <f t="array" ref="B6">_xlfn.IFS(C6="Electronics","P001", C6="MRO","P002", C6="Office Supplies","P003", C6="Packaging","P004", C6="Raw Materials","P005")</f>
        <v>P005</v>
      </c>
      <c r="C6" s="2" t="s">
        <v>9</v>
      </c>
      <c r="D6" s="1" t="s">
        <v>161</v>
      </c>
      <c r="E6" s="3">
        <v>50.5</v>
      </c>
      <c r="F6" s="1" t="s">
        <v>163</v>
      </c>
      <c r="G6" s="1" t="s">
        <v>162</v>
      </c>
      <c r="H6" s="1" t="s">
        <v>163</v>
      </c>
      <c r="I6" s="1" t="s">
        <v>163</v>
      </c>
      <c r="J6" s="1">
        <v>1</v>
      </c>
    </row>
    <row r="7" spans="1:10" x14ac:dyDescent="0.2">
      <c r="A7" s="1" t="s">
        <v>16</v>
      </c>
      <c r="B7" s="1" t="str" cm="1">
        <f t="array" ref="B7">_xlfn.IFS(C7="Electronics","P001", C7="MRO","P002", C7="Office Supplies","P003", C7="Packaging","P004", C7="Raw Materials","P005")</f>
        <v>P001</v>
      </c>
      <c r="C7" s="2" t="s">
        <v>8</v>
      </c>
      <c r="D7" s="1" t="s">
        <v>161</v>
      </c>
      <c r="E7" s="3">
        <v>50.5</v>
      </c>
      <c r="F7" s="1" t="s">
        <v>163</v>
      </c>
      <c r="G7" s="1" t="s">
        <v>162</v>
      </c>
      <c r="H7" s="1" t="s">
        <v>161</v>
      </c>
      <c r="I7" s="1" t="s">
        <v>163</v>
      </c>
      <c r="J7" s="1">
        <v>1</v>
      </c>
    </row>
    <row r="8" spans="1:10" x14ac:dyDescent="0.2">
      <c r="A8" s="1" t="s">
        <v>17</v>
      </c>
      <c r="B8" s="1" t="str" cm="1">
        <f t="array" ref="B8">_xlfn.IFS(C8="Electronics","P001", C8="MRO","P002", C8="Office Supplies","P003", C8="Packaging","P004", C8="Raw Materials","P005")</f>
        <v>P002</v>
      </c>
      <c r="C8" s="2" t="s">
        <v>165</v>
      </c>
      <c r="D8" s="1" t="s">
        <v>162</v>
      </c>
      <c r="E8" s="3">
        <v>300.5</v>
      </c>
      <c r="F8" s="1" t="s">
        <v>161</v>
      </c>
      <c r="G8" s="1" t="s">
        <v>161</v>
      </c>
      <c r="H8" s="1" t="s">
        <v>163</v>
      </c>
      <c r="I8" s="1" t="s">
        <v>163</v>
      </c>
      <c r="J8" s="1">
        <v>1</v>
      </c>
    </row>
    <row r="9" spans="1:10" x14ac:dyDescent="0.2">
      <c r="A9" s="1" t="s">
        <v>18</v>
      </c>
      <c r="B9" s="1" t="str" cm="1">
        <f t="array" ref="B9">_xlfn.IFS(C9="Electronics","P001", C9="MRO","P002", C9="Office Supplies","P003", C9="Packaging","P004", C9="Raw Materials","P005")</f>
        <v>P005</v>
      </c>
      <c r="C9" s="2" t="s">
        <v>9</v>
      </c>
      <c r="D9" s="1" t="s">
        <v>162</v>
      </c>
      <c r="E9" s="3">
        <v>50.5</v>
      </c>
      <c r="F9" s="1" t="s">
        <v>163</v>
      </c>
      <c r="G9" s="1" t="s">
        <v>163</v>
      </c>
      <c r="H9" s="1" t="s">
        <v>161</v>
      </c>
      <c r="I9" s="1" t="s">
        <v>163</v>
      </c>
      <c r="J9" s="1">
        <v>1</v>
      </c>
    </row>
    <row r="10" spans="1:10" x14ac:dyDescent="0.2">
      <c r="A10" s="1" t="s">
        <v>19</v>
      </c>
      <c r="B10" s="1" t="str" cm="1">
        <f t="array" ref="B10">_xlfn.IFS(C10="Electronics","P001", C10="MRO","P002", C10="Office Supplies","P003", C10="Packaging","P004", C10="Raw Materials","P005")</f>
        <v>P001</v>
      </c>
      <c r="C10" s="2" t="s">
        <v>8</v>
      </c>
      <c r="D10" s="1" t="s">
        <v>162</v>
      </c>
      <c r="E10" s="3">
        <v>1000</v>
      </c>
      <c r="F10" s="1" t="s">
        <v>162</v>
      </c>
      <c r="G10" s="1" t="s">
        <v>163</v>
      </c>
      <c r="H10" s="1" t="s">
        <v>161</v>
      </c>
      <c r="I10" s="1" t="s">
        <v>163</v>
      </c>
      <c r="J10" s="1">
        <v>1</v>
      </c>
    </row>
    <row r="11" spans="1:10" x14ac:dyDescent="0.2">
      <c r="A11" s="1" t="s">
        <v>20</v>
      </c>
      <c r="B11" s="1" t="str" cm="1">
        <f t="array" ref="B11">_xlfn.IFS(C11="Electronics","P001", C11="MRO","P002", C11="Office Supplies","P003", C11="Packaging","P004", C11="Raw Materials","P005")</f>
        <v>P003</v>
      </c>
      <c r="C11" s="2" t="s">
        <v>10</v>
      </c>
      <c r="D11" s="1" t="s">
        <v>161</v>
      </c>
      <c r="E11" s="3">
        <v>300.5</v>
      </c>
      <c r="F11" s="1" t="s">
        <v>163</v>
      </c>
      <c r="G11" s="1" t="s">
        <v>162</v>
      </c>
      <c r="H11" s="1" t="s">
        <v>163</v>
      </c>
      <c r="I11" s="1" t="s">
        <v>161</v>
      </c>
      <c r="J11" s="1">
        <v>1</v>
      </c>
    </row>
    <row r="12" spans="1:10" x14ac:dyDescent="0.2">
      <c r="A12" s="1" t="s">
        <v>21</v>
      </c>
      <c r="B12" s="1" t="str" cm="1">
        <f t="array" ref="B12">_xlfn.IFS(C12="Electronics","P001", C12="MRO","P002", C12="Office Supplies","P003", C12="Packaging","P004", C12="Raw Materials","P005")</f>
        <v>P001</v>
      </c>
      <c r="C12" s="2" t="s">
        <v>8</v>
      </c>
      <c r="D12" s="1" t="s">
        <v>163</v>
      </c>
      <c r="E12" s="3">
        <v>300.5</v>
      </c>
      <c r="F12" s="1" t="s">
        <v>163</v>
      </c>
      <c r="G12" s="1" t="s">
        <v>161</v>
      </c>
      <c r="H12" s="1" t="s">
        <v>163</v>
      </c>
      <c r="I12" s="1" t="s">
        <v>163</v>
      </c>
      <c r="J12" s="1">
        <v>1</v>
      </c>
    </row>
    <row r="13" spans="1:10" x14ac:dyDescent="0.2">
      <c r="A13" s="1" t="s">
        <v>22</v>
      </c>
      <c r="B13" s="1" t="str" cm="1">
        <f t="array" ref="B13">_xlfn.IFS(C13="Electronics","P001", C13="MRO","P002", C13="Office Supplies","P003", C13="Packaging","P004", C13="Raw Materials","P005")</f>
        <v>P001</v>
      </c>
      <c r="C13" s="2" t="s">
        <v>8</v>
      </c>
      <c r="D13" s="1" t="s">
        <v>162</v>
      </c>
      <c r="E13" s="3">
        <v>1000</v>
      </c>
      <c r="F13" s="1" t="s">
        <v>163</v>
      </c>
      <c r="G13" s="1" t="s">
        <v>161</v>
      </c>
      <c r="H13" s="1" t="s">
        <v>161</v>
      </c>
      <c r="I13" s="1" t="s">
        <v>163</v>
      </c>
      <c r="J13" s="1">
        <v>1</v>
      </c>
    </row>
    <row r="14" spans="1:10" x14ac:dyDescent="0.2">
      <c r="A14" s="1" t="s">
        <v>23</v>
      </c>
      <c r="B14" s="1" t="str" cm="1">
        <f t="array" ref="B14">_xlfn.IFS(C14="Electronics","P001", C14="MRO","P002", C14="Office Supplies","P003", C14="Packaging","P004", C14="Raw Materials","P005")</f>
        <v>P004</v>
      </c>
      <c r="C14" s="2" t="s">
        <v>164</v>
      </c>
      <c r="D14" s="1" t="s">
        <v>161</v>
      </c>
      <c r="E14" s="3">
        <v>300.5</v>
      </c>
      <c r="F14" s="1" t="s">
        <v>162</v>
      </c>
      <c r="G14" s="1" t="s">
        <v>162</v>
      </c>
      <c r="H14" s="1" t="s">
        <v>163</v>
      </c>
      <c r="I14" s="1" t="s">
        <v>161</v>
      </c>
      <c r="J14" s="1">
        <v>1</v>
      </c>
    </row>
    <row r="15" spans="1:10" x14ac:dyDescent="0.2">
      <c r="A15" s="1" t="s">
        <v>24</v>
      </c>
      <c r="B15" s="1" t="str" cm="1">
        <f t="array" ref="B15">_xlfn.IFS(C15="Electronics","P001", C15="MRO","P002", C15="Office Supplies","P003", C15="Packaging","P004", C15="Raw Materials","P005")</f>
        <v>P001</v>
      </c>
      <c r="C15" s="2" t="s">
        <v>8</v>
      </c>
      <c r="D15" s="1" t="s">
        <v>161</v>
      </c>
      <c r="E15" s="3">
        <v>50.5</v>
      </c>
      <c r="F15" s="1" t="s">
        <v>163</v>
      </c>
      <c r="G15" s="1" t="s">
        <v>163</v>
      </c>
      <c r="H15" s="1" t="s">
        <v>163</v>
      </c>
      <c r="I15" s="1" t="s">
        <v>161</v>
      </c>
      <c r="J15" s="1">
        <v>1</v>
      </c>
    </row>
    <row r="16" spans="1:10" x14ac:dyDescent="0.2">
      <c r="A16" s="1" t="s">
        <v>25</v>
      </c>
      <c r="B16" s="1" t="str" cm="1">
        <f t="array" ref="B16">_xlfn.IFS(C16="Electronics","P001", C16="MRO","P002", C16="Office Supplies","P003", C16="Packaging","P004", C16="Raw Materials","P005")</f>
        <v>P001</v>
      </c>
      <c r="C16" s="2" t="s">
        <v>8</v>
      </c>
      <c r="D16" s="1" t="s">
        <v>162</v>
      </c>
      <c r="E16" s="3">
        <v>50.5</v>
      </c>
      <c r="F16" s="1" t="s">
        <v>161</v>
      </c>
      <c r="G16" s="1" t="s">
        <v>163</v>
      </c>
      <c r="H16" s="1" t="s">
        <v>163</v>
      </c>
      <c r="I16" s="1" t="s">
        <v>161</v>
      </c>
      <c r="J16" s="1">
        <v>1</v>
      </c>
    </row>
    <row r="17" spans="1:10" x14ac:dyDescent="0.2">
      <c r="A17" s="1" t="s">
        <v>26</v>
      </c>
      <c r="B17" s="1" t="str" cm="1">
        <f t="array" ref="B17">_xlfn.IFS(C17="Electronics","P001", C17="MRO","P002", C17="Office Supplies","P003", C17="Packaging","P004", C17="Raw Materials","P005")</f>
        <v>P001</v>
      </c>
      <c r="C17" s="2" t="s">
        <v>8</v>
      </c>
      <c r="D17" s="1" t="s">
        <v>161</v>
      </c>
      <c r="E17" s="3">
        <v>50.5</v>
      </c>
      <c r="F17" s="1" t="s">
        <v>163</v>
      </c>
      <c r="G17" s="1" t="s">
        <v>161</v>
      </c>
      <c r="H17" s="1" t="s">
        <v>161</v>
      </c>
      <c r="I17" s="1" t="s">
        <v>161</v>
      </c>
      <c r="J17" s="1">
        <v>1</v>
      </c>
    </row>
    <row r="18" spans="1:10" x14ac:dyDescent="0.2">
      <c r="A18" s="1" t="s">
        <v>27</v>
      </c>
      <c r="B18" s="1" t="str" cm="1">
        <f t="array" ref="B18">_xlfn.IFS(C18="Electronics","P001", C18="MRO","P002", C18="Office Supplies","P003", C18="Packaging","P004", C18="Raw Materials","P005")</f>
        <v>P005</v>
      </c>
      <c r="C18" s="2" t="s">
        <v>9</v>
      </c>
      <c r="D18" s="1" t="s">
        <v>161</v>
      </c>
      <c r="E18" s="3">
        <v>50.5</v>
      </c>
      <c r="F18" s="1" t="s">
        <v>162</v>
      </c>
      <c r="G18" s="1" t="s">
        <v>161</v>
      </c>
      <c r="H18" s="1" t="s">
        <v>163</v>
      </c>
      <c r="I18" s="1" t="s">
        <v>161</v>
      </c>
      <c r="J18" s="1">
        <v>1</v>
      </c>
    </row>
    <row r="19" spans="1:10" x14ac:dyDescent="0.2">
      <c r="A19" s="1" t="s">
        <v>28</v>
      </c>
      <c r="B19" s="1" t="str" cm="1">
        <f t="array" ref="B19">_xlfn.IFS(C19="Electronics","P001", C19="MRO","P002", C19="Office Supplies","P003", C19="Packaging","P004", C19="Raw Materials","P005")</f>
        <v>P004</v>
      </c>
      <c r="C19" s="2" t="s">
        <v>164</v>
      </c>
      <c r="D19" s="1" t="s">
        <v>162</v>
      </c>
      <c r="E19" s="3">
        <v>50.5</v>
      </c>
      <c r="F19" s="1" t="s">
        <v>161</v>
      </c>
      <c r="G19" s="1" t="s">
        <v>162</v>
      </c>
      <c r="H19" s="1" t="s">
        <v>161</v>
      </c>
      <c r="I19" s="1" t="s">
        <v>163</v>
      </c>
      <c r="J19" s="1">
        <v>1</v>
      </c>
    </row>
    <row r="20" spans="1:10" x14ac:dyDescent="0.2">
      <c r="A20" s="1" t="s">
        <v>29</v>
      </c>
      <c r="B20" s="1" t="str" cm="1">
        <f t="array" ref="B20">_xlfn.IFS(C20="Electronics","P001", C20="MRO","P002", C20="Office Supplies","P003", C20="Packaging","P004", C20="Raw Materials","P005")</f>
        <v>P004</v>
      </c>
      <c r="C20" s="2" t="s">
        <v>164</v>
      </c>
      <c r="D20" s="1" t="s">
        <v>161</v>
      </c>
      <c r="E20" s="3">
        <v>300.5</v>
      </c>
      <c r="F20" s="1" t="s">
        <v>161</v>
      </c>
      <c r="G20" s="1" t="s">
        <v>161</v>
      </c>
      <c r="H20" s="1" t="s">
        <v>161</v>
      </c>
      <c r="I20" s="1" t="s">
        <v>163</v>
      </c>
      <c r="J20" s="1">
        <v>1</v>
      </c>
    </row>
    <row r="21" spans="1:10" x14ac:dyDescent="0.2">
      <c r="A21" s="1" t="s">
        <v>30</v>
      </c>
      <c r="B21" s="1" t="str" cm="1">
        <f t="array" ref="B21">_xlfn.IFS(C21="Electronics","P001", C21="MRO","P002", C21="Office Supplies","P003", C21="Packaging","P004", C21="Raw Materials","P005")</f>
        <v>P001</v>
      </c>
      <c r="C21" s="2" t="s">
        <v>8</v>
      </c>
      <c r="D21" s="1" t="s">
        <v>162</v>
      </c>
      <c r="E21" s="3">
        <v>50.5</v>
      </c>
      <c r="F21" s="1" t="s">
        <v>163</v>
      </c>
      <c r="G21" s="1" t="s">
        <v>163</v>
      </c>
      <c r="H21" s="1" t="s">
        <v>163</v>
      </c>
      <c r="I21" s="1" t="s">
        <v>163</v>
      </c>
      <c r="J21" s="1">
        <v>1</v>
      </c>
    </row>
    <row r="22" spans="1:10" x14ac:dyDescent="0.2">
      <c r="A22" s="1" t="s">
        <v>31</v>
      </c>
      <c r="B22" s="1" t="str" cm="1">
        <f t="array" ref="B22">_xlfn.IFS(C22="Electronics","P001", C22="MRO","P002", C22="Office Supplies","P003", C22="Packaging","P004", C22="Raw Materials","P005")</f>
        <v>P005</v>
      </c>
      <c r="C22" s="2" t="s">
        <v>9</v>
      </c>
      <c r="D22" s="1" t="s">
        <v>162</v>
      </c>
      <c r="E22" s="3">
        <v>50.5</v>
      </c>
      <c r="F22" s="1" t="s">
        <v>162</v>
      </c>
      <c r="G22" s="1" t="s">
        <v>163</v>
      </c>
      <c r="H22" s="1" t="s">
        <v>163</v>
      </c>
      <c r="I22" s="1" t="s">
        <v>163</v>
      </c>
      <c r="J22" s="1">
        <v>1</v>
      </c>
    </row>
    <row r="23" spans="1:10" x14ac:dyDescent="0.2">
      <c r="A23" s="1" t="s">
        <v>32</v>
      </c>
      <c r="B23" s="1" t="str" cm="1">
        <f t="array" ref="B23">_xlfn.IFS(C23="Electronics","P001", C23="MRO","P002", C23="Office Supplies","P003", C23="Packaging","P004", C23="Raw Materials","P005")</f>
        <v>P001</v>
      </c>
      <c r="C23" s="2" t="s">
        <v>8</v>
      </c>
      <c r="D23" s="1" t="s">
        <v>162</v>
      </c>
      <c r="E23" s="3">
        <v>50.5</v>
      </c>
      <c r="F23" s="1" t="s">
        <v>163</v>
      </c>
      <c r="G23" s="1" t="s">
        <v>162</v>
      </c>
      <c r="H23" s="1" t="s">
        <v>163</v>
      </c>
      <c r="I23" s="1" t="s">
        <v>163</v>
      </c>
      <c r="J23" s="1">
        <v>1</v>
      </c>
    </row>
    <row r="24" spans="1:10" x14ac:dyDescent="0.2">
      <c r="A24" s="1" t="s">
        <v>33</v>
      </c>
      <c r="B24" s="1" t="str" cm="1">
        <f t="array" ref="B24">_xlfn.IFS(C24="Electronics","P001", C24="MRO","P002", C24="Office Supplies","P003", C24="Packaging","P004", C24="Raw Materials","P005")</f>
        <v>P001</v>
      </c>
      <c r="C24" s="2" t="s">
        <v>8</v>
      </c>
      <c r="D24" s="1" t="s">
        <v>162</v>
      </c>
      <c r="E24" s="3">
        <v>50.5</v>
      </c>
      <c r="F24" s="1" t="s">
        <v>163</v>
      </c>
      <c r="G24" s="1" t="s">
        <v>162</v>
      </c>
      <c r="H24" s="1" t="s">
        <v>163</v>
      </c>
      <c r="I24" s="1" t="s">
        <v>161</v>
      </c>
      <c r="J24" s="1">
        <v>1</v>
      </c>
    </row>
    <row r="25" spans="1:10" x14ac:dyDescent="0.2">
      <c r="A25" s="1" t="s">
        <v>34</v>
      </c>
      <c r="B25" s="1" t="str" cm="1">
        <f t="array" ref="B25">_xlfn.IFS(C25="Electronics","P001", C25="MRO","P002", C25="Office Supplies","P003", C25="Packaging","P004", C25="Raw Materials","P005")</f>
        <v>P001</v>
      </c>
      <c r="C25" s="2" t="s">
        <v>8</v>
      </c>
      <c r="D25" s="1" t="s">
        <v>162</v>
      </c>
      <c r="E25" s="3">
        <v>750.5</v>
      </c>
      <c r="F25" s="1" t="s">
        <v>163</v>
      </c>
      <c r="G25" s="1" t="s">
        <v>161</v>
      </c>
      <c r="H25" s="1" t="s">
        <v>161</v>
      </c>
      <c r="I25" s="1" t="s">
        <v>161</v>
      </c>
      <c r="J25" s="1">
        <v>1</v>
      </c>
    </row>
    <row r="26" spans="1:10" x14ac:dyDescent="0.2">
      <c r="A26" s="1" t="s">
        <v>35</v>
      </c>
      <c r="B26" s="1" t="str" cm="1">
        <f t="array" ref="B26">_xlfn.IFS(C26="Electronics","P001", C26="MRO","P002", C26="Office Supplies","P003", C26="Packaging","P004", C26="Raw Materials","P005")</f>
        <v>P001</v>
      </c>
      <c r="C26" s="2" t="s">
        <v>8</v>
      </c>
      <c r="D26" s="1" t="s">
        <v>162</v>
      </c>
      <c r="E26" s="3">
        <v>50.5</v>
      </c>
      <c r="F26" s="1" t="s">
        <v>163</v>
      </c>
      <c r="G26" s="1" t="s">
        <v>163</v>
      </c>
      <c r="H26" s="1" t="s">
        <v>161</v>
      </c>
      <c r="I26" s="1" t="s">
        <v>163</v>
      </c>
      <c r="J26" s="1">
        <v>1</v>
      </c>
    </row>
    <row r="27" spans="1:10" x14ac:dyDescent="0.2">
      <c r="A27" s="1" t="s">
        <v>36</v>
      </c>
      <c r="B27" s="1" t="str" cm="1">
        <f t="array" ref="B27">_xlfn.IFS(C27="Electronics","P001", C27="MRO","P002", C27="Office Supplies","P003", C27="Packaging","P004", C27="Raw Materials","P005")</f>
        <v>P005</v>
      </c>
      <c r="C27" s="2" t="s">
        <v>9</v>
      </c>
      <c r="D27" s="1" t="s">
        <v>163</v>
      </c>
      <c r="E27" s="3">
        <v>300.5</v>
      </c>
      <c r="F27" s="1" t="s">
        <v>163</v>
      </c>
      <c r="G27" s="1" t="s">
        <v>162</v>
      </c>
      <c r="H27" s="1" t="s">
        <v>163</v>
      </c>
      <c r="I27" s="1" t="s">
        <v>161</v>
      </c>
      <c r="J27" s="1">
        <v>1</v>
      </c>
    </row>
    <row r="28" spans="1:10" x14ac:dyDescent="0.2">
      <c r="A28" s="1" t="s">
        <v>37</v>
      </c>
      <c r="B28" s="1" t="str" cm="1">
        <f t="array" ref="B28">_xlfn.IFS(C28="Electronics","P001", C28="MRO","P002", C28="Office Supplies","P003", C28="Packaging","P004", C28="Raw Materials","P005")</f>
        <v>P001</v>
      </c>
      <c r="C28" s="2" t="s">
        <v>8</v>
      </c>
      <c r="D28" s="1" t="s">
        <v>161</v>
      </c>
      <c r="E28" s="3">
        <v>50.5</v>
      </c>
      <c r="F28" s="1" t="s">
        <v>163</v>
      </c>
      <c r="G28" s="1" t="s">
        <v>161</v>
      </c>
      <c r="H28" s="1" t="s">
        <v>161</v>
      </c>
      <c r="I28" s="1" t="s">
        <v>162</v>
      </c>
      <c r="J28" s="1">
        <v>1</v>
      </c>
    </row>
    <row r="29" spans="1:10" x14ac:dyDescent="0.2">
      <c r="A29" s="1" t="s">
        <v>38</v>
      </c>
      <c r="B29" s="1" t="str" cm="1">
        <f t="array" ref="B29">_xlfn.IFS(C29="Electronics","P001", C29="MRO","P002", C29="Office Supplies","P003", C29="Packaging","P004", C29="Raw Materials","P005")</f>
        <v>P001</v>
      </c>
      <c r="C29" s="2" t="s">
        <v>8</v>
      </c>
      <c r="D29" s="1" t="s">
        <v>163</v>
      </c>
      <c r="E29" s="3">
        <v>50.5</v>
      </c>
      <c r="F29" s="1" t="s">
        <v>162</v>
      </c>
      <c r="G29" s="1" t="s">
        <v>163</v>
      </c>
      <c r="H29" s="1" t="s">
        <v>163</v>
      </c>
      <c r="I29" s="1" t="s">
        <v>163</v>
      </c>
      <c r="J29" s="1">
        <v>1</v>
      </c>
    </row>
    <row r="30" spans="1:10" x14ac:dyDescent="0.2">
      <c r="A30" s="1" t="s">
        <v>39</v>
      </c>
      <c r="B30" s="1" t="str" cm="1">
        <f t="array" ref="B30">_xlfn.IFS(C30="Electronics","P001", C30="MRO","P002", C30="Office Supplies","P003", C30="Packaging","P004", C30="Raw Materials","P005")</f>
        <v>P001</v>
      </c>
      <c r="C30" s="2" t="s">
        <v>8</v>
      </c>
      <c r="D30" s="1" t="s">
        <v>161</v>
      </c>
      <c r="E30" s="3">
        <v>1.5</v>
      </c>
      <c r="F30" s="1" t="s">
        <v>163</v>
      </c>
      <c r="G30" s="1" t="s">
        <v>162</v>
      </c>
      <c r="H30" s="1" t="s">
        <v>163</v>
      </c>
      <c r="I30" s="1" t="s">
        <v>161</v>
      </c>
      <c r="J30" s="1">
        <v>1</v>
      </c>
    </row>
    <row r="31" spans="1:10" x14ac:dyDescent="0.2">
      <c r="A31" s="1" t="s">
        <v>40</v>
      </c>
      <c r="B31" s="1" t="str" cm="1">
        <f t="array" ref="B31">_xlfn.IFS(C31="Electronics","P001", C31="MRO","P002", C31="Office Supplies","P003", C31="Packaging","P004", C31="Raw Materials","P005")</f>
        <v>P004</v>
      </c>
      <c r="C31" s="2" t="s">
        <v>164</v>
      </c>
      <c r="D31" s="1" t="s">
        <v>162</v>
      </c>
      <c r="E31" s="3">
        <v>50.5</v>
      </c>
      <c r="F31" s="1" t="s">
        <v>163</v>
      </c>
      <c r="G31" s="1" t="s">
        <v>162</v>
      </c>
      <c r="H31" s="1" t="s">
        <v>161</v>
      </c>
      <c r="I31" s="1" t="s">
        <v>161</v>
      </c>
      <c r="J31" s="1">
        <v>1</v>
      </c>
    </row>
    <row r="32" spans="1:10" x14ac:dyDescent="0.2">
      <c r="A32" s="1" t="s">
        <v>41</v>
      </c>
      <c r="B32" s="1" t="str" cm="1">
        <f t="array" ref="B32">_xlfn.IFS(C32="Electronics","P001", C32="MRO","P002", C32="Office Supplies","P003", C32="Packaging","P004", C32="Raw Materials","P005")</f>
        <v>P001</v>
      </c>
      <c r="C32" s="2" t="s">
        <v>8</v>
      </c>
      <c r="D32" s="1" t="s">
        <v>162</v>
      </c>
      <c r="E32" s="3">
        <v>50.5</v>
      </c>
      <c r="F32" s="1" t="s">
        <v>162</v>
      </c>
      <c r="G32" s="1" t="s">
        <v>163</v>
      </c>
      <c r="H32" s="1" t="s">
        <v>163</v>
      </c>
      <c r="I32" s="1" t="s">
        <v>163</v>
      </c>
      <c r="J32" s="1">
        <v>1</v>
      </c>
    </row>
    <row r="33" spans="1:10" x14ac:dyDescent="0.2">
      <c r="A33" s="1" t="s">
        <v>42</v>
      </c>
      <c r="B33" s="1" t="str" cm="1">
        <f t="array" ref="B33">_xlfn.IFS(C33="Electronics","P001", C33="MRO","P002", C33="Office Supplies","P003", C33="Packaging","P004", C33="Raw Materials","P005")</f>
        <v>P001</v>
      </c>
      <c r="C33" s="2" t="s">
        <v>8</v>
      </c>
      <c r="D33" s="1" t="s">
        <v>161</v>
      </c>
      <c r="E33" s="3">
        <v>50.5</v>
      </c>
      <c r="F33" s="1" t="s">
        <v>163</v>
      </c>
      <c r="G33" s="1" t="s">
        <v>161</v>
      </c>
      <c r="H33" s="1" t="s">
        <v>163</v>
      </c>
      <c r="I33" s="1" t="s">
        <v>163</v>
      </c>
      <c r="J33" s="1">
        <v>1</v>
      </c>
    </row>
    <row r="34" spans="1:10" x14ac:dyDescent="0.2">
      <c r="A34" s="1" t="s">
        <v>43</v>
      </c>
      <c r="B34" s="1" t="str" cm="1">
        <f t="array" ref="B34">_xlfn.IFS(C34="Electronics","P001", C34="MRO","P002", C34="Office Supplies","P003", C34="Packaging","P004", C34="Raw Materials","P005")</f>
        <v>P001</v>
      </c>
      <c r="C34" s="2" t="s">
        <v>8</v>
      </c>
      <c r="D34" s="1" t="s">
        <v>162</v>
      </c>
      <c r="E34" s="3">
        <v>50.5</v>
      </c>
      <c r="F34" s="1" t="s">
        <v>163</v>
      </c>
      <c r="G34" s="1" t="s">
        <v>163</v>
      </c>
      <c r="H34" s="1" t="s">
        <v>161</v>
      </c>
      <c r="I34" s="1" t="s">
        <v>161</v>
      </c>
      <c r="J34" s="1">
        <v>1</v>
      </c>
    </row>
    <row r="35" spans="1:10" x14ac:dyDescent="0.2">
      <c r="A35" s="1" t="s">
        <v>44</v>
      </c>
      <c r="B35" s="1" t="str" cm="1">
        <f t="array" ref="B35">_xlfn.IFS(C35="Electronics","P001", C35="MRO","P002", C35="Office Supplies","P003", C35="Packaging","P004", C35="Raw Materials","P005")</f>
        <v>P005</v>
      </c>
      <c r="C35" s="2" t="s">
        <v>9</v>
      </c>
      <c r="D35" s="1" t="s">
        <v>163</v>
      </c>
      <c r="E35" s="3">
        <v>50.5</v>
      </c>
      <c r="F35" s="1" t="s">
        <v>163</v>
      </c>
      <c r="G35" s="1" t="s">
        <v>163</v>
      </c>
      <c r="H35" s="1" t="s">
        <v>163</v>
      </c>
      <c r="I35" s="1" t="s">
        <v>163</v>
      </c>
      <c r="J35" s="1">
        <v>1</v>
      </c>
    </row>
    <row r="36" spans="1:10" x14ac:dyDescent="0.2">
      <c r="A36" s="1" t="s">
        <v>45</v>
      </c>
      <c r="B36" s="1" t="str" cm="1">
        <f t="array" ref="B36">_xlfn.IFS(C36="Electronics","P001", C36="MRO","P002", C36="Office Supplies","P003", C36="Packaging","P004", C36="Raw Materials","P005")</f>
        <v>P001</v>
      </c>
      <c r="C36" s="2" t="s">
        <v>8</v>
      </c>
      <c r="D36" s="1" t="s">
        <v>162</v>
      </c>
      <c r="E36" s="3">
        <v>50.5</v>
      </c>
      <c r="F36" s="1" t="s">
        <v>163</v>
      </c>
      <c r="G36" s="1" t="s">
        <v>162</v>
      </c>
      <c r="H36" s="1" t="s">
        <v>163</v>
      </c>
      <c r="I36" s="1" t="s">
        <v>163</v>
      </c>
      <c r="J36" s="1">
        <v>1</v>
      </c>
    </row>
    <row r="37" spans="1:10" x14ac:dyDescent="0.2">
      <c r="A37" s="1" t="s">
        <v>46</v>
      </c>
      <c r="B37" s="1" t="str" cm="1">
        <f t="array" ref="B37">_xlfn.IFS(C37="Electronics","P001", C37="MRO","P002", C37="Office Supplies","P003", C37="Packaging","P004", C37="Raw Materials","P005")</f>
        <v>P001</v>
      </c>
      <c r="C37" s="2" t="s">
        <v>8</v>
      </c>
      <c r="D37" s="1" t="s">
        <v>163</v>
      </c>
      <c r="E37" s="3">
        <v>50.5</v>
      </c>
      <c r="F37" s="1" t="s">
        <v>162</v>
      </c>
      <c r="G37" s="1" t="s">
        <v>161</v>
      </c>
      <c r="H37" s="1" t="s">
        <v>163</v>
      </c>
      <c r="I37" s="1" t="s">
        <v>161</v>
      </c>
      <c r="J37" s="1">
        <v>1</v>
      </c>
    </row>
    <row r="38" spans="1:10" x14ac:dyDescent="0.2">
      <c r="A38" s="1" t="s">
        <v>47</v>
      </c>
      <c r="B38" s="1" t="str" cm="1">
        <f t="array" ref="B38">_xlfn.IFS(C38="Electronics","P001", C38="MRO","P002", C38="Office Supplies","P003", C38="Packaging","P004", C38="Raw Materials","P005")</f>
        <v>P001</v>
      </c>
      <c r="C38" s="2" t="s">
        <v>8</v>
      </c>
      <c r="D38" s="1" t="s">
        <v>162</v>
      </c>
      <c r="E38" s="3">
        <v>50.5</v>
      </c>
      <c r="F38" s="1" t="s">
        <v>163</v>
      </c>
      <c r="G38" s="1" t="s">
        <v>161</v>
      </c>
      <c r="H38" s="1" t="s">
        <v>161</v>
      </c>
      <c r="I38" s="1" t="s">
        <v>163</v>
      </c>
      <c r="J38" s="1">
        <v>1</v>
      </c>
    </row>
    <row r="39" spans="1:10" x14ac:dyDescent="0.2">
      <c r="A39" s="1" t="s">
        <v>48</v>
      </c>
      <c r="B39" s="1" t="str" cm="1">
        <f t="array" ref="B39">_xlfn.IFS(C39="Electronics","P001", C39="MRO","P002", C39="Office Supplies","P003", C39="Packaging","P004", C39="Raw Materials","P005")</f>
        <v>P001</v>
      </c>
      <c r="C39" s="2" t="s">
        <v>8</v>
      </c>
      <c r="D39" s="1" t="s">
        <v>162</v>
      </c>
      <c r="E39" s="3">
        <v>50.5</v>
      </c>
      <c r="F39" s="1" t="s">
        <v>161</v>
      </c>
      <c r="G39" s="1" t="s">
        <v>161</v>
      </c>
      <c r="H39" s="1" t="s">
        <v>161</v>
      </c>
      <c r="I39" s="1" t="s">
        <v>161</v>
      </c>
      <c r="J39" s="1">
        <v>1</v>
      </c>
    </row>
    <row r="40" spans="1:10" x14ac:dyDescent="0.2">
      <c r="A40" s="1" t="s">
        <v>49</v>
      </c>
      <c r="B40" s="1" t="str" cm="1">
        <f t="array" ref="B40">_xlfn.IFS(C40="Electronics","P001", C40="MRO","P002", C40="Office Supplies","P003", C40="Packaging","P004", C40="Raw Materials","P005")</f>
        <v>P005</v>
      </c>
      <c r="C40" s="2" t="s">
        <v>9</v>
      </c>
      <c r="D40" s="1" t="s">
        <v>163</v>
      </c>
      <c r="E40" s="3">
        <v>50.5</v>
      </c>
      <c r="F40" s="1" t="s">
        <v>163</v>
      </c>
      <c r="G40" s="1" t="s">
        <v>161</v>
      </c>
      <c r="H40" s="1" t="s">
        <v>163</v>
      </c>
      <c r="I40" s="1" t="s">
        <v>163</v>
      </c>
      <c r="J40" s="1">
        <v>1</v>
      </c>
    </row>
    <row r="41" spans="1:10" x14ac:dyDescent="0.2">
      <c r="A41" s="1" t="s">
        <v>50</v>
      </c>
      <c r="B41" s="1" t="str" cm="1">
        <f t="array" ref="B41">_xlfn.IFS(C41="Electronics","P001", C41="MRO","P002", C41="Office Supplies","P003", C41="Packaging","P004", C41="Raw Materials","P005")</f>
        <v>P001</v>
      </c>
      <c r="C41" s="2" t="s">
        <v>8</v>
      </c>
      <c r="D41" s="1" t="s">
        <v>162</v>
      </c>
      <c r="E41" s="3">
        <v>50.5</v>
      </c>
      <c r="F41" s="1" t="s">
        <v>163</v>
      </c>
      <c r="G41" s="1" t="s">
        <v>161</v>
      </c>
      <c r="H41" s="1" t="s">
        <v>163</v>
      </c>
      <c r="I41" s="1" t="s">
        <v>161</v>
      </c>
      <c r="J41" s="1">
        <v>1</v>
      </c>
    </row>
    <row r="42" spans="1:10" x14ac:dyDescent="0.2">
      <c r="A42" s="1" t="s">
        <v>51</v>
      </c>
      <c r="B42" s="1" t="str" cm="1">
        <f t="array" ref="B42">_xlfn.IFS(C42="Electronics","P001", C42="MRO","P002", C42="Office Supplies","P003", C42="Packaging","P004", C42="Raw Materials","P005")</f>
        <v>P001</v>
      </c>
      <c r="C42" s="2" t="s">
        <v>8</v>
      </c>
      <c r="D42" s="1" t="s">
        <v>161</v>
      </c>
      <c r="E42" s="3">
        <v>300.5</v>
      </c>
      <c r="F42" s="1" t="s">
        <v>162</v>
      </c>
      <c r="G42" s="1" t="s">
        <v>161</v>
      </c>
      <c r="H42" s="1" t="s">
        <v>163</v>
      </c>
      <c r="I42" s="1" t="s">
        <v>163</v>
      </c>
      <c r="J42" s="1">
        <v>1</v>
      </c>
    </row>
    <row r="43" spans="1:10" x14ac:dyDescent="0.2">
      <c r="A43" s="1" t="s">
        <v>52</v>
      </c>
      <c r="B43" s="1" t="str" cm="1">
        <f t="array" ref="B43">_xlfn.IFS(C43="Electronics","P001", C43="MRO","P002", C43="Office Supplies","P003", C43="Packaging","P004", C43="Raw Materials","P005")</f>
        <v>P005</v>
      </c>
      <c r="C43" s="2" t="s">
        <v>9</v>
      </c>
      <c r="D43" s="1" t="s">
        <v>161</v>
      </c>
      <c r="E43" s="3">
        <v>50.5</v>
      </c>
      <c r="F43" s="1" t="s">
        <v>161</v>
      </c>
      <c r="G43" s="1" t="s">
        <v>161</v>
      </c>
      <c r="H43" s="1" t="s">
        <v>161</v>
      </c>
      <c r="I43" s="1" t="s">
        <v>161</v>
      </c>
      <c r="J43" s="1">
        <v>1</v>
      </c>
    </row>
    <row r="44" spans="1:10" x14ac:dyDescent="0.2">
      <c r="A44" s="1" t="s">
        <v>53</v>
      </c>
      <c r="B44" s="1" t="str" cm="1">
        <f t="array" ref="B44">_xlfn.IFS(C44="Electronics","P001", C44="MRO","P002", C44="Office Supplies","P003", C44="Packaging","P004", C44="Raw Materials","P005")</f>
        <v>P002</v>
      </c>
      <c r="C44" s="2" t="s">
        <v>165</v>
      </c>
      <c r="D44" s="1" t="s">
        <v>161</v>
      </c>
      <c r="E44" s="3">
        <v>1000</v>
      </c>
      <c r="F44" s="1" t="s">
        <v>163</v>
      </c>
      <c r="G44" s="1" t="s">
        <v>161</v>
      </c>
      <c r="H44" s="1" t="s">
        <v>163</v>
      </c>
      <c r="I44" s="1" t="s">
        <v>163</v>
      </c>
      <c r="J44" s="1">
        <v>1</v>
      </c>
    </row>
    <row r="45" spans="1:10" x14ac:dyDescent="0.2">
      <c r="A45" s="1" t="s">
        <v>54</v>
      </c>
      <c r="B45" s="1" t="str" cm="1">
        <f t="array" ref="B45">_xlfn.IFS(C45="Electronics","P001", C45="MRO","P002", C45="Office Supplies","P003", C45="Packaging","P004", C45="Raw Materials","P005")</f>
        <v>P005</v>
      </c>
      <c r="C45" s="2" t="s">
        <v>9</v>
      </c>
      <c r="D45" s="1" t="s">
        <v>163</v>
      </c>
      <c r="E45" s="3">
        <v>50.5</v>
      </c>
      <c r="F45" s="1" t="s">
        <v>163</v>
      </c>
      <c r="G45" s="1" t="s">
        <v>162</v>
      </c>
      <c r="H45" s="1" t="s">
        <v>161</v>
      </c>
      <c r="I45" s="1" t="s">
        <v>161</v>
      </c>
      <c r="J45" s="1">
        <v>1</v>
      </c>
    </row>
    <row r="46" spans="1:10" x14ac:dyDescent="0.2">
      <c r="A46" s="1" t="s">
        <v>55</v>
      </c>
      <c r="B46" s="1" t="str" cm="1">
        <f t="array" ref="B46">_xlfn.IFS(C46="Electronics","P001", C46="MRO","P002", C46="Office Supplies","P003", C46="Packaging","P004", C46="Raw Materials","P005")</f>
        <v>P001</v>
      </c>
      <c r="C46" s="2" t="s">
        <v>8</v>
      </c>
      <c r="D46" s="1" t="s">
        <v>162</v>
      </c>
      <c r="E46" s="3">
        <v>50.5</v>
      </c>
      <c r="F46" s="1" t="s">
        <v>163</v>
      </c>
      <c r="G46" s="1" t="s">
        <v>163</v>
      </c>
      <c r="H46" s="1" t="s">
        <v>163</v>
      </c>
      <c r="I46" s="1" t="s">
        <v>163</v>
      </c>
      <c r="J46" s="1">
        <v>1</v>
      </c>
    </row>
    <row r="47" spans="1:10" x14ac:dyDescent="0.2">
      <c r="A47" s="1" t="s">
        <v>56</v>
      </c>
      <c r="B47" s="1" t="str" cm="1">
        <f t="array" ref="B47">_xlfn.IFS(C47="Electronics","P001", C47="MRO","P002", C47="Office Supplies","P003", C47="Packaging","P004", C47="Raw Materials","P005")</f>
        <v>P003</v>
      </c>
      <c r="C47" s="2" t="s">
        <v>10</v>
      </c>
      <c r="D47" s="1" t="s">
        <v>163</v>
      </c>
      <c r="E47" s="3">
        <v>300.5</v>
      </c>
      <c r="F47" s="1" t="s">
        <v>161</v>
      </c>
      <c r="G47" s="1" t="s">
        <v>162</v>
      </c>
      <c r="H47" s="1" t="s">
        <v>161</v>
      </c>
      <c r="I47" s="1" t="s">
        <v>163</v>
      </c>
      <c r="J47" s="1">
        <v>1</v>
      </c>
    </row>
    <row r="48" spans="1:10" x14ac:dyDescent="0.2">
      <c r="A48" s="1" t="s">
        <v>57</v>
      </c>
      <c r="B48" s="1" t="str" cm="1">
        <f t="array" ref="B48">_xlfn.IFS(C48="Electronics","P001", C48="MRO","P002", C48="Office Supplies","P003", C48="Packaging","P004", C48="Raw Materials","P005")</f>
        <v>P001</v>
      </c>
      <c r="C48" s="2" t="s">
        <v>8</v>
      </c>
      <c r="D48" s="1" t="s">
        <v>162</v>
      </c>
      <c r="E48" s="3">
        <v>50.5</v>
      </c>
      <c r="F48" s="1" t="s">
        <v>163</v>
      </c>
      <c r="G48" s="1" t="s">
        <v>163</v>
      </c>
      <c r="H48" s="1" t="s">
        <v>161</v>
      </c>
      <c r="I48" s="1" t="s">
        <v>161</v>
      </c>
      <c r="J48" s="1">
        <v>1</v>
      </c>
    </row>
    <row r="49" spans="1:10" x14ac:dyDescent="0.2">
      <c r="A49" s="1" t="s">
        <v>58</v>
      </c>
      <c r="B49" s="1" t="str" cm="1">
        <f t="array" ref="B49">_xlfn.IFS(C49="Electronics","P001", C49="MRO","P002", C49="Office Supplies","P003", C49="Packaging","P004", C49="Raw Materials","P005")</f>
        <v>P001</v>
      </c>
      <c r="C49" s="2" t="s">
        <v>8</v>
      </c>
      <c r="D49" s="1" t="s">
        <v>161</v>
      </c>
      <c r="E49" s="3">
        <v>50.5</v>
      </c>
      <c r="F49" s="1" t="s">
        <v>162</v>
      </c>
      <c r="G49" s="1" t="s">
        <v>163</v>
      </c>
      <c r="H49" s="1" t="s">
        <v>163</v>
      </c>
      <c r="I49" s="1" t="s">
        <v>163</v>
      </c>
      <c r="J49" s="1">
        <v>1</v>
      </c>
    </row>
    <row r="50" spans="1:10" x14ac:dyDescent="0.2">
      <c r="A50" s="1" t="s">
        <v>59</v>
      </c>
      <c r="B50" s="1" t="str" cm="1">
        <f t="array" ref="B50">_xlfn.IFS(C50="Electronics","P001", C50="MRO","P002", C50="Office Supplies","P003", C50="Packaging","P004", C50="Raw Materials","P005")</f>
        <v>P001</v>
      </c>
      <c r="C50" s="2" t="s">
        <v>8</v>
      </c>
      <c r="D50" s="1" t="s">
        <v>162</v>
      </c>
      <c r="E50" s="3">
        <v>300.5</v>
      </c>
      <c r="F50" s="1" t="s">
        <v>161</v>
      </c>
      <c r="G50" s="1" t="s">
        <v>161</v>
      </c>
      <c r="H50" s="1" t="s">
        <v>163</v>
      </c>
      <c r="I50" s="1" t="s">
        <v>161</v>
      </c>
      <c r="J50" s="1">
        <v>1</v>
      </c>
    </row>
    <row r="51" spans="1:10" x14ac:dyDescent="0.2">
      <c r="A51" s="1" t="s">
        <v>60</v>
      </c>
      <c r="B51" s="1" t="str" cm="1">
        <f t="array" ref="B51">_xlfn.IFS(C51="Electronics","P001", C51="MRO","P002", C51="Office Supplies","P003", C51="Packaging","P004", C51="Raw Materials","P005")</f>
        <v>P001</v>
      </c>
      <c r="C51" s="2" t="s">
        <v>8</v>
      </c>
      <c r="D51" s="1" t="s">
        <v>162</v>
      </c>
      <c r="E51" s="3">
        <v>300.5</v>
      </c>
      <c r="F51" s="1" t="s">
        <v>163</v>
      </c>
      <c r="G51" s="1" t="s">
        <v>161</v>
      </c>
      <c r="H51" s="1" t="s">
        <v>161</v>
      </c>
      <c r="I51" s="1" t="s">
        <v>163</v>
      </c>
      <c r="J51" s="1">
        <v>1</v>
      </c>
    </row>
    <row r="52" spans="1:10" x14ac:dyDescent="0.2">
      <c r="A52" s="1" t="s">
        <v>61</v>
      </c>
      <c r="B52" s="1" t="str" cm="1">
        <f t="array" ref="B52">_xlfn.IFS(C52="Electronics","P001", C52="MRO","P002", C52="Office Supplies","P003", C52="Packaging","P004", C52="Raw Materials","P005")</f>
        <v>P004</v>
      </c>
      <c r="C52" s="2" t="s">
        <v>164</v>
      </c>
      <c r="D52" s="1" t="s">
        <v>162</v>
      </c>
      <c r="E52" s="3">
        <v>50.5</v>
      </c>
      <c r="F52" s="1" t="s">
        <v>161</v>
      </c>
      <c r="G52" s="1" t="s">
        <v>161</v>
      </c>
      <c r="H52" s="1" t="s">
        <v>161</v>
      </c>
      <c r="I52" s="1" t="s">
        <v>161</v>
      </c>
      <c r="J52" s="1">
        <v>1</v>
      </c>
    </row>
    <row r="53" spans="1:10" x14ac:dyDescent="0.2">
      <c r="A53" s="1" t="s">
        <v>62</v>
      </c>
      <c r="B53" s="1" t="str" cm="1">
        <f t="array" ref="B53">_xlfn.IFS(C53="Electronics","P001", C53="MRO","P002", C53="Office Supplies","P003", C53="Packaging","P004", C53="Raw Materials","P005")</f>
        <v>P003</v>
      </c>
      <c r="C53" s="2" t="s">
        <v>10</v>
      </c>
      <c r="D53" s="1" t="s">
        <v>161</v>
      </c>
      <c r="E53" s="3">
        <v>50.5</v>
      </c>
      <c r="F53" s="1" t="s">
        <v>163</v>
      </c>
      <c r="G53" s="1" t="s">
        <v>161</v>
      </c>
      <c r="H53" s="1" t="s">
        <v>163</v>
      </c>
      <c r="I53" s="1" t="s">
        <v>163</v>
      </c>
      <c r="J53" s="1">
        <v>1</v>
      </c>
    </row>
    <row r="54" spans="1:10" x14ac:dyDescent="0.2">
      <c r="A54" s="1" t="s">
        <v>63</v>
      </c>
      <c r="B54" s="1" t="str" cm="1">
        <f t="array" ref="B54">_xlfn.IFS(C54="Electronics","P001", C54="MRO","P002", C54="Office Supplies","P003", C54="Packaging","P004", C54="Raw Materials","P005")</f>
        <v>P003</v>
      </c>
      <c r="C54" s="2" t="s">
        <v>10</v>
      </c>
      <c r="D54" s="1" t="s">
        <v>161</v>
      </c>
      <c r="E54" s="3">
        <v>50.5</v>
      </c>
      <c r="F54" s="1" t="s">
        <v>161</v>
      </c>
      <c r="G54" s="1" t="s">
        <v>162</v>
      </c>
      <c r="H54" s="1" t="s">
        <v>161</v>
      </c>
      <c r="I54" s="1" t="s">
        <v>161</v>
      </c>
      <c r="J54" s="1">
        <v>1</v>
      </c>
    </row>
    <row r="55" spans="1:10" x14ac:dyDescent="0.2">
      <c r="A55" s="1" t="s">
        <v>64</v>
      </c>
      <c r="B55" s="1" t="str" cm="1">
        <f t="array" ref="B55">_xlfn.IFS(C55="Electronics","P001", C55="MRO","P002", C55="Office Supplies","P003", C55="Packaging","P004", C55="Raw Materials","P005")</f>
        <v>P005</v>
      </c>
      <c r="C55" s="2" t="s">
        <v>9</v>
      </c>
      <c r="D55" s="1" t="s">
        <v>161</v>
      </c>
      <c r="E55" s="3">
        <v>300.5</v>
      </c>
      <c r="F55" s="1" t="s">
        <v>162</v>
      </c>
      <c r="G55" s="1" t="s">
        <v>161</v>
      </c>
      <c r="H55" s="1" t="s">
        <v>161</v>
      </c>
      <c r="I55" s="1" t="s">
        <v>163</v>
      </c>
      <c r="J55" s="1">
        <v>1</v>
      </c>
    </row>
    <row r="56" spans="1:10" x14ac:dyDescent="0.2">
      <c r="A56" s="1" t="s">
        <v>65</v>
      </c>
      <c r="B56" s="1" t="str" cm="1">
        <f t="array" ref="B56">_xlfn.IFS(C56="Electronics","P001", C56="MRO","P002", C56="Office Supplies","P003", C56="Packaging","P004", C56="Raw Materials","P005")</f>
        <v>P002</v>
      </c>
      <c r="C56" s="2" t="s">
        <v>165</v>
      </c>
      <c r="D56" s="1" t="s">
        <v>162</v>
      </c>
      <c r="E56" s="3">
        <v>1000</v>
      </c>
      <c r="F56" s="1" t="s">
        <v>163</v>
      </c>
      <c r="G56" s="1" t="s">
        <v>161</v>
      </c>
      <c r="H56" s="1" t="s">
        <v>163</v>
      </c>
      <c r="I56" s="1" t="s">
        <v>163</v>
      </c>
      <c r="J56" s="1">
        <v>1</v>
      </c>
    </row>
    <row r="57" spans="1:10" x14ac:dyDescent="0.2">
      <c r="A57" s="1" t="s">
        <v>66</v>
      </c>
      <c r="B57" s="1" t="str" cm="1">
        <f t="array" ref="B57">_xlfn.IFS(C57="Electronics","P001", C57="MRO","P002", C57="Office Supplies","P003", C57="Packaging","P004", C57="Raw Materials","P005")</f>
        <v>P001</v>
      </c>
      <c r="C57" s="2" t="s">
        <v>8</v>
      </c>
      <c r="D57" s="1" t="s">
        <v>162</v>
      </c>
      <c r="E57" s="3">
        <v>750.5</v>
      </c>
      <c r="F57" s="1" t="s">
        <v>163</v>
      </c>
      <c r="G57" s="1" t="s">
        <v>161</v>
      </c>
      <c r="H57" s="1" t="s">
        <v>163</v>
      </c>
      <c r="I57" s="1" t="s">
        <v>161</v>
      </c>
      <c r="J57" s="1">
        <v>1</v>
      </c>
    </row>
    <row r="58" spans="1:10" x14ac:dyDescent="0.2">
      <c r="A58" s="1" t="s">
        <v>67</v>
      </c>
      <c r="B58" s="1" t="str" cm="1">
        <f t="array" ref="B58">_xlfn.IFS(C58="Electronics","P001", C58="MRO","P002", C58="Office Supplies","P003", C58="Packaging","P004", C58="Raw Materials","P005")</f>
        <v>P001</v>
      </c>
      <c r="C58" s="2" t="s">
        <v>8</v>
      </c>
      <c r="D58" s="1" t="s">
        <v>163</v>
      </c>
      <c r="E58" s="3">
        <v>50.5</v>
      </c>
      <c r="F58" s="1" t="s">
        <v>162</v>
      </c>
      <c r="G58" s="1" t="s">
        <v>163</v>
      </c>
      <c r="H58" s="1" t="s">
        <v>163</v>
      </c>
      <c r="I58" s="1" t="s">
        <v>163</v>
      </c>
      <c r="J58" s="1">
        <v>1</v>
      </c>
    </row>
    <row r="59" spans="1:10" x14ac:dyDescent="0.2">
      <c r="A59" s="1" t="s">
        <v>68</v>
      </c>
      <c r="B59" s="1" t="str" cm="1">
        <f t="array" ref="B59">_xlfn.IFS(C59="Electronics","P001", C59="MRO","P002", C59="Office Supplies","P003", C59="Packaging","P004", C59="Raw Materials","P005")</f>
        <v>P001</v>
      </c>
      <c r="C59" s="2" t="s">
        <v>8</v>
      </c>
      <c r="D59" s="1" t="s">
        <v>162</v>
      </c>
      <c r="E59" s="3">
        <v>50.5</v>
      </c>
      <c r="F59" s="1" t="s">
        <v>163</v>
      </c>
      <c r="G59" s="1" t="s">
        <v>162</v>
      </c>
      <c r="H59" s="1" t="s">
        <v>161</v>
      </c>
      <c r="I59" s="1" t="s">
        <v>163</v>
      </c>
      <c r="J59" s="1">
        <v>1</v>
      </c>
    </row>
    <row r="60" spans="1:10" x14ac:dyDescent="0.2">
      <c r="A60" s="1" t="s">
        <v>69</v>
      </c>
      <c r="B60" s="1" t="str" cm="1">
        <f t="array" ref="B60">_xlfn.IFS(C60="Electronics","P001", C60="MRO","P002", C60="Office Supplies","P003", C60="Packaging","P004", C60="Raw Materials","P005")</f>
        <v>P001</v>
      </c>
      <c r="C60" s="2" t="s">
        <v>8</v>
      </c>
      <c r="D60" s="1" t="s">
        <v>162</v>
      </c>
      <c r="E60" s="3">
        <v>750.5</v>
      </c>
      <c r="F60" s="1" t="s">
        <v>161</v>
      </c>
      <c r="G60" s="1" t="s">
        <v>163</v>
      </c>
      <c r="H60" s="1" t="s">
        <v>163</v>
      </c>
      <c r="I60" s="1" t="s">
        <v>163</v>
      </c>
      <c r="J60" s="1">
        <v>1</v>
      </c>
    </row>
    <row r="61" spans="1:10" x14ac:dyDescent="0.2">
      <c r="A61" s="1" t="s">
        <v>70</v>
      </c>
      <c r="B61" s="1" t="str" cm="1">
        <f t="array" ref="B61">_xlfn.IFS(C61="Electronics","P001", C61="MRO","P002", C61="Office Supplies","P003", C61="Packaging","P004", C61="Raw Materials","P005")</f>
        <v>P001</v>
      </c>
      <c r="C61" s="2" t="s">
        <v>8</v>
      </c>
      <c r="D61" s="1" t="s">
        <v>161</v>
      </c>
      <c r="E61" s="3">
        <v>50.5</v>
      </c>
      <c r="F61" s="1" t="s">
        <v>163</v>
      </c>
      <c r="G61" s="1" t="s">
        <v>163</v>
      </c>
      <c r="H61" s="1" t="s">
        <v>163</v>
      </c>
      <c r="I61" s="1" t="s">
        <v>163</v>
      </c>
      <c r="J61" s="1">
        <v>1</v>
      </c>
    </row>
    <row r="62" spans="1:10" x14ac:dyDescent="0.2">
      <c r="A62" s="1" t="s">
        <v>71</v>
      </c>
      <c r="B62" s="1" t="str" cm="1">
        <f t="array" ref="B62">_xlfn.IFS(C62="Electronics","P001", C62="MRO","P002", C62="Office Supplies","P003", C62="Packaging","P004", C62="Raw Materials","P005")</f>
        <v>P002</v>
      </c>
      <c r="C62" s="2" t="s">
        <v>165</v>
      </c>
      <c r="D62" s="1" t="s">
        <v>161</v>
      </c>
      <c r="E62" s="3">
        <v>50.5</v>
      </c>
      <c r="F62" s="1" t="s">
        <v>162</v>
      </c>
      <c r="G62" s="1" t="s">
        <v>163</v>
      </c>
      <c r="H62" s="1" t="s">
        <v>163</v>
      </c>
      <c r="I62" s="1" t="s">
        <v>161</v>
      </c>
      <c r="J62" s="1">
        <v>1</v>
      </c>
    </row>
    <row r="63" spans="1:10" x14ac:dyDescent="0.2">
      <c r="A63" s="1" t="s">
        <v>72</v>
      </c>
      <c r="B63" s="1" t="str" cm="1">
        <f t="array" ref="B63">_xlfn.IFS(C63="Electronics","P001", C63="MRO","P002", C63="Office Supplies","P003", C63="Packaging","P004", C63="Raw Materials","P005")</f>
        <v>P005</v>
      </c>
      <c r="C63" s="2" t="s">
        <v>9</v>
      </c>
      <c r="D63" s="1" t="s">
        <v>163</v>
      </c>
      <c r="E63" s="3">
        <v>300.5</v>
      </c>
      <c r="F63" s="1" t="s">
        <v>163</v>
      </c>
      <c r="G63" s="1" t="s">
        <v>163</v>
      </c>
      <c r="H63" s="1" t="s">
        <v>163</v>
      </c>
      <c r="I63" s="1" t="s">
        <v>163</v>
      </c>
      <c r="J63" s="1">
        <v>1</v>
      </c>
    </row>
    <row r="64" spans="1:10" x14ac:dyDescent="0.2">
      <c r="A64" s="1" t="s">
        <v>73</v>
      </c>
      <c r="B64" s="1" t="str" cm="1">
        <f t="array" ref="B64">_xlfn.IFS(C64="Electronics","P001", C64="MRO","P002", C64="Office Supplies","P003", C64="Packaging","P004", C64="Raw Materials","P005")</f>
        <v>P001</v>
      </c>
      <c r="C64" s="2" t="s">
        <v>8</v>
      </c>
      <c r="D64" s="1" t="s">
        <v>161</v>
      </c>
      <c r="E64" s="3">
        <v>300.5</v>
      </c>
      <c r="F64" s="1" t="s">
        <v>163</v>
      </c>
      <c r="G64" s="1" t="s">
        <v>163</v>
      </c>
      <c r="H64" s="1" t="s">
        <v>163</v>
      </c>
      <c r="I64" s="1" t="s">
        <v>163</v>
      </c>
      <c r="J64" s="1">
        <v>1</v>
      </c>
    </row>
    <row r="65" spans="1:10" x14ac:dyDescent="0.2">
      <c r="A65" s="1" t="s">
        <v>74</v>
      </c>
      <c r="B65" s="1" t="str" cm="1">
        <f t="array" ref="B65">_xlfn.IFS(C65="Electronics","P001", C65="MRO","P002", C65="Office Supplies","P003", C65="Packaging","P004", C65="Raw Materials","P005")</f>
        <v>P004</v>
      </c>
      <c r="C65" s="2" t="s">
        <v>164</v>
      </c>
      <c r="D65" s="1" t="s">
        <v>163</v>
      </c>
      <c r="E65" s="3">
        <v>50.5</v>
      </c>
      <c r="F65" s="1" t="s">
        <v>161</v>
      </c>
      <c r="G65" s="1" t="s">
        <v>163</v>
      </c>
      <c r="H65" s="1" t="s">
        <v>163</v>
      </c>
      <c r="I65" s="1" t="s">
        <v>163</v>
      </c>
      <c r="J65" s="1">
        <v>1</v>
      </c>
    </row>
    <row r="66" spans="1:10" x14ac:dyDescent="0.2">
      <c r="A66" s="1" t="s">
        <v>75</v>
      </c>
      <c r="B66" s="1" t="str" cm="1">
        <f t="array" ref="B66">_xlfn.IFS(C66="Electronics","P001", C66="MRO","P002", C66="Office Supplies","P003", C66="Packaging","P004", C66="Raw Materials","P005")</f>
        <v>P004</v>
      </c>
      <c r="C66" s="2" t="s">
        <v>164</v>
      </c>
      <c r="D66" s="1" t="s">
        <v>163</v>
      </c>
      <c r="E66" s="3">
        <v>50.5</v>
      </c>
      <c r="F66" s="1" t="s">
        <v>163</v>
      </c>
      <c r="G66" s="1" t="s">
        <v>163</v>
      </c>
      <c r="H66" s="1" t="s">
        <v>161</v>
      </c>
      <c r="I66" s="1" t="s">
        <v>163</v>
      </c>
      <c r="J66" s="1">
        <v>1</v>
      </c>
    </row>
    <row r="67" spans="1:10" x14ac:dyDescent="0.2">
      <c r="A67" s="1" t="s">
        <v>76</v>
      </c>
      <c r="B67" s="1" t="str" cm="1">
        <f t="array" ref="B67">_xlfn.IFS(C67="Electronics","P001", C67="MRO","P002", C67="Office Supplies","P003", C67="Packaging","P004", C67="Raw Materials","P005")</f>
        <v>P005</v>
      </c>
      <c r="C67" s="2" t="s">
        <v>9</v>
      </c>
      <c r="D67" s="1" t="s">
        <v>163</v>
      </c>
      <c r="E67" s="3">
        <v>50.5</v>
      </c>
      <c r="F67" s="1" t="s">
        <v>163</v>
      </c>
      <c r="G67" s="1" t="s">
        <v>161</v>
      </c>
      <c r="H67" s="1" t="s">
        <v>163</v>
      </c>
      <c r="I67" s="1" t="s">
        <v>161</v>
      </c>
      <c r="J67" s="1">
        <v>1</v>
      </c>
    </row>
    <row r="68" spans="1:10" x14ac:dyDescent="0.2">
      <c r="A68" s="1" t="s">
        <v>77</v>
      </c>
      <c r="B68" s="1" t="str" cm="1">
        <f t="array" ref="B68">_xlfn.IFS(C68="Electronics","P001", C68="MRO","P002", C68="Office Supplies","P003", C68="Packaging","P004", C68="Raw Materials","P005")</f>
        <v>P001</v>
      </c>
      <c r="C68" s="2" t="s">
        <v>8</v>
      </c>
      <c r="D68" s="1" t="s">
        <v>161</v>
      </c>
      <c r="E68" s="3">
        <v>50.5</v>
      </c>
      <c r="F68" s="1" t="s">
        <v>163</v>
      </c>
      <c r="G68" s="1" t="s">
        <v>161</v>
      </c>
      <c r="H68" s="1" t="s">
        <v>163</v>
      </c>
      <c r="I68" s="1" t="s">
        <v>161</v>
      </c>
      <c r="J68" s="1">
        <v>1</v>
      </c>
    </row>
    <row r="69" spans="1:10" x14ac:dyDescent="0.2">
      <c r="A69" s="1" t="s">
        <v>78</v>
      </c>
      <c r="B69" s="1" t="str" cm="1">
        <f t="array" ref="B69">_xlfn.IFS(C69="Electronics","P001", C69="MRO","P002", C69="Office Supplies","P003", C69="Packaging","P004", C69="Raw Materials","P005")</f>
        <v>P001</v>
      </c>
      <c r="C69" s="2" t="s">
        <v>8</v>
      </c>
      <c r="D69" s="1" t="s">
        <v>162</v>
      </c>
      <c r="E69" s="3">
        <v>300.5</v>
      </c>
      <c r="F69" s="1" t="s">
        <v>163</v>
      </c>
      <c r="G69" s="1" t="s">
        <v>161</v>
      </c>
      <c r="H69" s="1" t="s">
        <v>161</v>
      </c>
      <c r="I69" s="1" t="s">
        <v>163</v>
      </c>
      <c r="J69" s="1">
        <v>1</v>
      </c>
    </row>
    <row r="70" spans="1:10" x14ac:dyDescent="0.2">
      <c r="A70" s="1" t="s">
        <v>79</v>
      </c>
      <c r="B70" s="1" t="str" cm="1">
        <f t="array" ref="B70">_xlfn.IFS(C70="Electronics","P001", C70="MRO","P002", C70="Office Supplies","P003", C70="Packaging","P004", C70="Raw Materials","P005")</f>
        <v>P001</v>
      </c>
      <c r="C70" s="2" t="s">
        <v>8</v>
      </c>
      <c r="D70" s="1" t="s">
        <v>162</v>
      </c>
      <c r="E70" s="3">
        <v>50.5</v>
      </c>
      <c r="F70" s="1" t="s">
        <v>163</v>
      </c>
      <c r="G70" s="1" t="s">
        <v>161</v>
      </c>
      <c r="H70" s="1" t="s">
        <v>161</v>
      </c>
      <c r="I70" s="1" t="s">
        <v>163</v>
      </c>
      <c r="J70" s="1">
        <v>1</v>
      </c>
    </row>
    <row r="71" spans="1:10" x14ac:dyDescent="0.2">
      <c r="A71" s="1" t="s">
        <v>80</v>
      </c>
      <c r="B71" s="1" t="str" cm="1">
        <f t="array" ref="B71">_xlfn.IFS(C71="Electronics","P001", C71="MRO","P002", C71="Office Supplies","P003", C71="Packaging","P004", C71="Raw Materials","P005")</f>
        <v>P001</v>
      </c>
      <c r="C71" s="2" t="s">
        <v>8</v>
      </c>
      <c r="D71" s="1" t="s">
        <v>163</v>
      </c>
      <c r="E71" s="3">
        <v>50.5</v>
      </c>
      <c r="F71" s="1" t="s">
        <v>161</v>
      </c>
      <c r="G71" s="1" t="s">
        <v>162</v>
      </c>
      <c r="H71" s="1" t="s">
        <v>163</v>
      </c>
      <c r="I71" s="1" t="s">
        <v>163</v>
      </c>
      <c r="J71" s="1">
        <v>1</v>
      </c>
    </row>
    <row r="72" spans="1:10" x14ac:dyDescent="0.2">
      <c r="A72" s="1" t="s">
        <v>81</v>
      </c>
      <c r="B72" s="1" t="str" cm="1">
        <f t="array" ref="B72">_xlfn.IFS(C72="Electronics","P001", C72="MRO","P002", C72="Office Supplies","P003", C72="Packaging","P004", C72="Raw Materials","P005")</f>
        <v>P001</v>
      </c>
      <c r="C72" s="2" t="s">
        <v>8</v>
      </c>
      <c r="D72" s="1" t="s">
        <v>161</v>
      </c>
      <c r="E72" s="3">
        <v>50.5</v>
      </c>
      <c r="F72" s="1" t="s">
        <v>163</v>
      </c>
      <c r="G72" s="1" t="s">
        <v>163</v>
      </c>
      <c r="H72" s="1" t="s">
        <v>163</v>
      </c>
      <c r="I72" s="1" t="s">
        <v>163</v>
      </c>
      <c r="J72" s="1">
        <v>1</v>
      </c>
    </row>
    <row r="73" spans="1:10" x14ac:dyDescent="0.2">
      <c r="A73" s="1" t="s">
        <v>82</v>
      </c>
      <c r="B73" s="1" t="str" cm="1">
        <f t="array" ref="B73">_xlfn.IFS(C73="Electronics","P001", C73="MRO","P002", C73="Office Supplies","P003", C73="Packaging","P004", C73="Raw Materials","P005")</f>
        <v>P003</v>
      </c>
      <c r="C73" s="2" t="s">
        <v>10</v>
      </c>
      <c r="D73" s="1" t="s">
        <v>161</v>
      </c>
      <c r="E73" s="3">
        <v>50.5</v>
      </c>
      <c r="F73" s="1" t="s">
        <v>161</v>
      </c>
      <c r="G73" s="1" t="s">
        <v>162</v>
      </c>
      <c r="H73" s="1" t="s">
        <v>163</v>
      </c>
      <c r="I73" s="1" t="s">
        <v>161</v>
      </c>
      <c r="J73" s="1">
        <v>1</v>
      </c>
    </row>
    <row r="74" spans="1:10" x14ac:dyDescent="0.2">
      <c r="A74" s="1" t="s">
        <v>83</v>
      </c>
      <c r="B74" s="1" t="str" cm="1">
        <f t="array" ref="B74">_xlfn.IFS(C74="Electronics","P001", C74="MRO","P002", C74="Office Supplies","P003", C74="Packaging","P004", C74="Raw Materials","P005")</f>
        <v>P005</v>
      </c>
      <c r="C74" s="2" t="s">
        <v>9</v>
      </c>
      <c r="D74" s="1" t="s">
        <v>163</v>
      </c>
      <c r="E74" s="3">
        <v>50.5</v>
      </c>
      <c r="F74" s="1" t="s">
        <v>161</v>
      </c>
      <c r="G74" s="1" t="s">
        <v>162</v>
      </c>
      <c r="H74" s="1" t="s">
        <v>163</v>
      </c>
      <c r="I74" s="1" t="s">
        <v>161</v>
      </c>
      <c r="J74" s="1">
        <v>1</v>
      </c>
    </row>
    <row r="75" spans="1:10" x14ac:dyDescent="0.2">
      <c r="A75" s="1" t="s">
        <v>84</v>
      </c>
      <c r="B75" s="1" t="str" cm="1">
        <f t="array" ref="B75">_xlfn.IFS(C75="Electronics","P001", C75="MRO","P002", C75="Office Supplies","P003", C75="Packaging","P004", C75="Raw Materials","P005")</f>
        <v>P001</v>
      </c>
      <c r="C75" s="2" t="s">
        <v>8</v>
      </c>
      <c r="D75" s="1" t="s">
        <v>163</v>
      </c>
      <c r="E75" s="3">
        <v>300.5</v>
      </c>
      <c r="F75" s="1" t="s">
        <v>162</v>
      </c>
      <c r="G75" s="1" t="s">
        <v>161</v>
      </c>
      <c r="H75" s="1" t="s">
        <v>161</v>
      </c>
      <c r="I75" s="1" t="s">
        <v>163</v>
      </c>
      <c r="J75" s="1">
        <v>1</v>
      </c>
    </row>
    <row r="76" spans="1:10" x14ac:dyDescent="0.2">
      <c r="A76" s="1" t="s">
        <v>85</v>
      </c>
      <c r="B76" s="1" t="str" cm="1">
        <f t="array" ref="B76">_xlfn.IFS(C76="Electronics","P001", C76="MRO","P002", C76="Office Supplies","P003", C76="Packaging","P004", C76="Raw Materials","P005")</f>
        <v>P001</v>
      </c>
      <c r="C76" s="2" t="s">
        <v>8</v>
      </c>
      <c r="D76" s="1" t="s">
        <v>161</v>
      </c>
      <c r="E76" s="3">
        <v>50.5</v>
      </c>
      <c r="F76" s="1" t="s">
        <v>162</v>
      </c>
      <c r="G76" s="1" t="s">
        <v>162</v>
      </c>
      <c r="H76" s="1" t="s">
        <v>162</v>
      </c>
      <c r="I76" s="1" t="s">
        <v>162</v>
      </c>
      <c r="J76" s="1">
        <v>1</v>
      </c>
    </row>
    <row r="77" spans="1:10" x14ac:dyDescent="0.2">
      <c r="A77" s="1" t="s">
        <v>86</v>
      </c>
      <c r="B77" s="1" t="str" cm="1">
        <f t="array" ref="B77">_xlfn.IFS(C77="Electronics","P001", C77="MRO","P002", C77="Office Supplies","P003", C77="Packaging","P004", C77="Raw Materials","P005")</f>
        <v>P001</v>
      </c>
      <c r="C77" s="2" t="s">
        <v>8</v>
      </c>
      <c r="D77" s="1" t="s">
        <v>162</v>
      </c>
      <c r="E77" s="3">
        <v>300.5</v>
      </c>
      <c r="F77" s="1" t="s">
        <v>163</v>
      </c>
      <c r="G77" s="1" t="s">
        <v>162</v>
      </c>
      <c r="H77" s="1" t="s">
        <v>163</v>
      </c>
      <c r="I77" s="1" t="s">
        <v>161</v>
      </c>
      <c r="J77" s="1">
        <v>1</v>
      </c>
    </row>
    <row r="78" spans="1:10" x14ac:dyDescent="0.2">
      <c r="A78" s="1" t="s">
        <v>87</v>
      </c>
      <c r="B78" s="1" t="str" cm="1">
        <f t="array" ref="B78">_xlfn.IFS(C78="Electronics","P001", C78="MRO","P002", C78="Office Supplies","P003", C78="Packaging","P004", C78="Raw Materials","P005")</f>
        <v>P001</v>
      </c>
      <c r="C78" s="2" t="s">
        <v>8</v>
      </c>
      <c r="D78" s="1" t="s">
        <v>162</v>
      </c>
      <c r="E78" s="3">
        <v>50.5</v>
      </c>
      <c r="F78" s="1" t="s">
        <v>161</v>
      </c>
      <c r="G78" s="1" t="s">
        <v>161</v>
      </c>
      <c r="H78" s="1" t="s">
        <v>163</v>
      </c>
      <c r="I78" s="1" t="s">
        <v>161</v>
      </c>
      <c r="J78" s="1">
        <v>1</v>
      </c>
    </row>
    <row r="79" spans="1:10" x14ac:dyDescent="0.2">
      <c r="A79" s="1" t="s">
        <v>88</v>
      </c>
      <c r="B79" s="1" t="str" cm="1">
        <f t="array" ref="B79">_xlfn.IFS(C79="Electronics","P001", C79="MRO","P002", C79="Office Supplies","P003", C79="Packaging","P004", C79="Raw Materials","P005")</f>
        <v>P005</v>
      </c>
      <c r="C79" s="2" t="s">
        <v>9</v>
      </c>
      <c r="D79" s="1" t="s">
        <v>161</v>
      </c>
      <c r="E79" s="3">
        <v>12.5</v>
      </c>
      <c r="F79" s="1" t="s">
        <v>163</v>
      </c>
      <c r="G79" s="1" t="s">
        <v>161</v>
      </c>
      <c r="H79" s="1" t="s">
        <v>163</v>
      </c>
      <c r="I79" s="1" t="s">
        <v>163</v>
      </c>
      <c r="J79" s="1">
        <v>1</v>
      </c>
    </row>
    <row r="80" spans="1:10" x14ac:dyDescent="0.2">
      <c r="A80" s="1" t="s">
        <v>89</v>
      </c>
      <c r="B80" s="1" t="str" cm="1">
        <f t="array" ref="B80">_xlfn.IFS(C80="Electronics","P001", C80="MRO","P002", C80="Office Supplies","P003", C80="Packaging","P004", C80="Raw Materials","P005")</f>
        <v>P001</v>
      </c>
      <c r="C80" s="2" t="s">
        <v>8</v>
      </c>
      <c r="D80" s="1" t="s">
        <v>161</v>
      </c>
      <c r="E80" s="3">
        <v>50.5</v>
      </c>
      <c r="F80" s="1" t="s">
        <v>163</v>
      </c>
      <c r="G80" s="1" t="s">
        <v>163</v>
      </c>
      <c r="H80" s="1" t="s">
        <v>163</v>
      </c>
      <c r="I80" s="1" t="s">
        <v>163</v>
      </c>
      <c r="J80" s="1">
        <v>1</v>
      </c>
    </row>
    <row r="81" spans="1:10" x14ac:dyDescent="0.2">
      <c r="A81" s="1" t="s">
        <v>90</v>
      </c>
      <c r="B81" s="1" t="str" cm="1">
        <f t="array" ref="B81">_xlfn.IFS(C81="Electronics","P001", C81="MRO","P002", C81="Office Supplies","P003", C81="Packaging","P004", C81="Raw Materials","P005")</f>
        <v>P004</v>
      </c>
      <c r="C81" s="2" t="s">
        <v>164</v>
      </c>
      <c r="D81" s="1" t="s">
        <v>161</v>
      </c>
      <c r="E81" s="3">
        <v>50.5</v>
      </c>
      <c r="F81" s="1" t="s">
        <v>163</v>
      </c>
      <c r="G81" s="1" t="s">
        <v>161</v>
      </c>
      <c r="H81" s="1" t="s">
        <v>163</v>
      </c>
      <c r="I81" s="1" t="s">
        <v>161</v>
      </c>
      <c r="J81" s="1">
        <v>1</v>
      </c>
    </row>
    <row r="82" spans="1:10" x14ac:dyDescent="0.2">
      <c r="A82" s="1" t="s">
        <v>91</v>
      </c>
      <c r="B82" s="1" t="str" cm="1">
        <f t="array" ref="B82">_xlfn.IFS(C82="Electronics","P001", C82="MRO","P002", C82="Office Supplies","P003", C82="Packaging","P004", C82="Raw Materials","P005")</f>
        <v>P004</v>
      </c>
      <c r="C82" s="2" t="s">
        <v>164</v>
      </c>
      <c r="D82" s="1" t="s">
        <v>163</v>
      </c>
      <c r="E82" s="3">
        <v>50.5</v>
      </c>
      <c r="F82" s="1" t="s">
        <v>163</v>
      </c>
      <c r="G82" s="1" t="s">
        <v>161</v>
      </c>
      <c r="H82" s="1" t="s">
        <v>161</v>
      </c>
      <c r="I82" s="1" t="s">
        <v>161</v>
      </c>
      <c r="J82" s="1">
        <v>1</v>
      </c>
    </row>
    <row r="83" spans="1:10" x14ac:dyDescent="0.2">
      <c r="A83" s="1" t="s">
        <v>92</v>
      </c>
      <c r="B83" s="1" t="str" cm="1">
        <f t="array" ref="B83">_xlfn.IFS(C83="Electronics","P001", C83="MRO","P002", C83="Office Supplies","P003", C83="Packaging","P004", C83="Raw Materials","P005")</f>
        <v>P001</v>
      </c>
      <c r="C83" s="2" t="s">
        <v>8</v>
      </c>
      <c r="D83" s="1" t="s">
        <v>161</v>
      </c>
      <c r="E83" s="3">
        <v>50.5</v>
      </c>
      <c r="F83" s="1" t="s">
        <v>163</v>
      </c>
      <c r="G83" s="1" t="s">
        <v>163</v>
      </c>
      <c r="H83" s="1" t="s">
        <v>163</v>
      </c>
      <c r="I83" s="1" t="s">
        <v>161</v>
      </c>
      <c r="J83" s="1">
        <v>1</v>
      </c>
    </row>
    <row r="84" spans="1:10" x14ac:dyDescent="0.2">
      <c r="A84" s="1" t="s">
        <v>93</v>
      </c>
      <c r="B84" s="1" t="str" cm="1">
        <f t="array" ref="B84">_xlfn.IFS(C84="Electronics","P001", C84="MRO","P002", C84="Office Supplies","P003", C84="Packaging","P004", C84="Raw Materials","P005")</f>
        <v>P001</v>
      </c>
      <c r="C84" s="2" t="s">
        <v>8</v>
      </c>
      <c r="D84" s="1" t="s">
        <v>162</v>
      </c>
      <c r="E84" s="3">
        <v>50.5</v>
      </c>
      <c r="F84" s="1" t="s">
        <v>161</v>
      </c>
      <c r="G84" s="1" t="s">
        <v>161</v>
      </c>
      <c r="H84" s="1" t="s">
        <v>163</v>
      </c>
      <c r="I84" s="1" t="s">
        <v>163</v>
      </c>
      <c r="J84" s="1">
        <v>1</v>
      </c>
    </row>
    <row r="85" spans="1:10" x14ac:dyDescent="0.2">
      <c r="A85" s="1" t="s">
        <v>94</v>
      </c>
      <c r="B85" s="1" t="str" cm="1">
        <f t="array" ref="B85">_xlfn.IFS(C85="Electronics","P001", C85="MRO","P002", C85="Office Supplies","P003", C85="Packaging","P004", C85="Raw Materials","P005")</f>
        <v>P002</v>
      </c>
      <c r="C85" s="2" t="s">
        <v>165</v>
      </c>
      <c r="D85" s="1" t="s">
        <v>161</v>
      </c>
      <c r="E85" s="3">
        <v>300.5</v>
      </c>
      <c r="F85" s="1" t="s">
        <v>163</v>
      </c>
      <c r="G85" s="1" t="s">
        <v>162</v>
      </c>
      <c r="H85" s="1" t="s">
        <v>163</v>
      </c>
      <c r="I85" s="1" t="s">
        <v>163</v>
      </c>
      <c r="J85" s="1">
        <v>1</v>
      </c>
    </row>
    <row r="86" spans="1:10" x14ac:dyDescent="0.2">
      <c r="A86" s="1" t="s">
        <v>95</v>
      </c>
      <c r="B86" s="1" t="str" cm="1">
        <f t="array" ref="B86">_xlfn.IFS(C86="Electronics","P001", C86="MRO","P002", C86="Office Supplies","P003", C86="Packaging","P004", C86="Raw Materials","P005")</f>
        <v>P002</v>
      </c>
      <c r="C86" s="2" t="s">
        <v>165</v>
      </c>
      <c r="D86" s="1" t="s">
        <v>162</v>
      </c>
      <c r="E86" s="3">
        <v>15</v>
      </c>
      <c r="F86" s="1" t="s">
        <v>163</v>
      </c>
      <c r="G86" s="1" t="s">
        <v>162</v>
      </c>
      <c r="H86" s="1" t="s">
        <v>163</v>
      </c>
      <c r="I86" s="1" t="s">
        <v>163</v>
      </c>
      <c r="J86" s="1">
        <v>1</v>
      </c>
    </row>
    <row r="87" spans="1:10" x14ac:dyDescent="0.2">
      <c r="A87" s="1" t="s">
        <v>96</v>
      </c>
      <c r="B87" s="1" t="str" cm="1">
        <f t="array" ref="B87">_xlfn.IFS(C87="Electronics","P001", C87="MRO","P002", C87="Office Supplies","P003", C87="Packaging","P004", C87="Raw Materials","P005")</f>
        <v>P001</v>
      </c>
      <c r="C87" s="2" t="s">
        <v>8</v>
      </c>
      <c r="D87" s="1" t="s">
        <v>162</v>
      </c>
      <c r="E87" s="3">
        <v>50.5</v>
      </c>
      <c r="F87" s="1" t="s">
        <v>163</v>
      </c>
      <c r="G87" s="1" t="s">
        <v>163</v>
      </c>
      <c r="H87" s="1" t="s">
        <v>163</v>
      </c>
      <c r="I87" s="1" t="s">
        <v>161</v>
      </c>
      <c r="J87" s="1">
        <v>1</v>
      </c>
    </row>
    <row r="88" spans="1:10" x14ac:dyDescent="0.2">
      <c r="A88" s="1" t="s">
        <v>97</v>
      </c>
      <c r="B88" s="1" t="str" cm="1">
        <f t="array" ref="B88">_xlfn.IFS(C88="Electronics","P001", C88="MRO","P002", C88="Office Supplies","P003", C88="Packaging","P004", C88="Raw Materials","P005")</f>
        <v>P002</v>
      </c>
      <c r="C88" s="2" t="s">
        <v>165</v>
      </c>
      <c r="D88" s="1" t="s">
        <v>163</v>
      </c>
      <c r="E88" s="3">
        <v>50.5</v>
      </c>
      <c r="F88" s="1" t="s">
        <v>163</v>
      </c>
      <c r="G88" s="1" t="s">
        <v>161</v>
      </c>
      <c r="H88" s="1" t="s">
        <v>163</v>
      </c>
      <c r="I88" s="1" t="s">
        <v>163</v>
      </c>
      <c r="J88" s="1">
        <v>1</v>
      </c>
    </row>
    <row r="89" spans="1:10" x14ac:dyDescent="0.2">
      <c r="A89" s="1" t="s">
        <v>98</v>
      </c>
      <c r="B89" s="1" t="str" cm="1">
        <f t="array" ref="B89">_xlfn.IFS(C89="Electronics","P001", C89="MRO","P002", C89="Office Supplies","P003", C89="Packaging","P004", C89="Raw Materials","P005")</f>
        <v>P001</v>
      </c>
      <c r="C89" s="2" t="s">
        <v>8</v>
      </c>
      <c r="D89" s="1" t="s">
        <v>163</v>
      </c>
      <c r="E89" s="3">
        <v>50.5</v>
      </c>
      <c r="F89" s="1" t="s">
        <v>163</v>
      </c>
      <c r="G89" s="1" t="s">
        <v>161</v>
      </c>
      <c r="H89" s="1" t="s">
        <v>163</v>
      </c>
      <c r="I89" s="1" t="s">
        <v>163</v>
      </c>
      <c r="J89" s="1">
        <v>1</v>
      </c>
    </row>
    <row r="90" spans="1:10" x14ac:dyDescent="0.2">
      <c r="A90" s="1" t="s">
        <v>99</v>
      </c>
      <c r="B90" s="1" t="str" cm="1">
        <f t="array" ref="B90">_xlfn.IFS(C90="Electronics","P001", C90="MRO","P002", C90="Office Supplies","P003", C90="Packaging","P004", C90="Raw Materials","P005")</f>
        <v>P005</v>
      </c>
      <c r="C90" s="2" t="s">
        <v>9</v>
      </c>
      <c r="D90" s="1" t="s">
        <v>163</v>
      </c>
      <c r="E90" s="3">
        <v>50.5</v>
      </c>
      <c r="F90" s="1" t="s">
        <v>162</v>
      </c>
      <c r="G90" s="1" t="s">
        <v>163</v>
      </c>
      <c r="H90" s="1" t="s">
        <v>163</v>
      </c>
      <c r="I90" s="1" t="s">
        <v>163</v>
      </c>
      <c r="J90" s="1">
        <v>1</v>
      </c>
    </row>
    <row r="91" spans="1:10" x14ac:dyDescent="0.2">
      <c r="A91" s="1" t="s">
        <v>100</v>
      </c>
      <c r="B91" s="1" t="str" cm="1">
        <f t="array" ref="B91">_xlfn.IFS(C91="Electronics","P001", C91="MRO","P002", C91="Office Supplies","P003", C91="Packaging","P004", C91="Raw Materials","P005")</f>
        <v>P002</v>
      </c>
      <c r="C91" s="2" t="s">
        <v>165</v>
      </c>
      <c r="D91" s="1" t="s">
        <v>161</v>
      </c>
      <c r="E91" s="3">
        <v>750.5</v>
      </c>
      <c r="F91" s="1" t="s">
        <v>163</v>
      </c>
      <c r="G91" s="1" t="s">
        <v>161</v>
      </c>
      <c r="H91" s="1" t="s">
        <v>163</v>
      </c>
      <c r="I91" s="1" t="s">
        <v>163</v>
      </c>
      <c r="J91" s="1">
        <v>1</v>
      </c>
    </row>
    <row r="92" spans="1:10" x14ac:dyDescent="0.2">
      <c r="A92" s="1" t="s">
        <v>101</v>
      </c>
      <c r="B92" s="1" t="str" cm="1">
        <f t="array" ref="B92">_xlfn.IFS(C92="Electronics","P001", C92="MRO","P002", C92="Office Supplies","P003", C92="Packaging","P004", C92="Raw Materials","P005")</f>
        <v>P001</v>
      </c>
      <c r="C92" s="2" t="s">
        <v>8</v>
      </c>
      <c r="D92" s="1" t="s">
        <v>161</v>
      </c>
      <c r="E92" s="3">
        <v>50.5</v>
      </c>
      <c r="F92" s="1" t="s">
        <v>163</v>
      </c>
      <c r="G92" s="1" t="s">
        <v>162</v>
      </c>
      <c r="H92" s="1" t="s">
        <v>161</v>
      </c>
      <c r="I92" s="1" t="s">
        <v>161</v>
      </c>
      <c r="J92" s="1">
        <v>1</v>
      </c>
    </row>
    <row r="93" spans="1:10" x14ac:dyDescent="0.2">
      <c r="A93" s="1" t="s">
        <v>102</v>
      </c>
      <c r="B93" s="1" t="str" cm="1">
        <f t="array" ref="B93">_xlfn.IFS(C93="Electronics","P001", C93="MRO","P002", C93="Office Supplies","P003", C93="Packaging","P004", C93="Raw Materials","P005")</f>
        <v>P001</v>
      </c>
      <c r="C93" s="2" t="s">
        <v>8</v>
      </c>
      <c r="D93" s="1" t="s">
        <v>161</v>
      </c>
      <c r="E93" s="3">
        <v>50.5</v>
      </c>
      <c r="F93" s="1" t="s">
        <v>163</v>
      </c>
      <c r="G93" s="1" t="s">
        <v>162</v>
      </c>
      <c r="H93" s="1" t="s">
        <v>161</v>
      </c>
      <c r="I93" s="1" t="s">
        <v>163</v>
      </c>
      <c r="J93" s="1">
        <v>1</v>
      </c>
    </row>
    <row r="94" spans="1:10" x14ac:dyDescent="0.2">
      <c r="A94" s="1" t="s">
        <v>103</v>
      </c>
      <c r="B94" s="1" t="str" cm="1">
        <f t="array" ref="B94">_xlfn.IFS(C94="Electronics","P001", C94="MRO","P002", C94="Office Supplies","P003", C94="Packaging","P004", C94="Raw Materials","P005")</f>
        <v>P004</v>
      </c>
      <c r="C94" s="2" t="s">
        <v>164</v>
      </c>
      <c r="D94" s="1" t="s">
        <v>163</v>
      </c>
      <c r="E94" s="3">
        <v>50.5</v>
      </c>
      <c r="F94" s="1" t="s">
        <v>163</v>
      </c>
      <c r="G94" s="1" t="s">
        <v>163</v>
      </c>
      <c r="H94" s="1" t="s">
        <v>163</v>
      </c>
      <c r="I94" s="1" t="s">
        <v>163</v>
      </c>
      <c r="J94" s="1">
        <v>1</v>
      </c>
    </row>
    <row r="95" spans="1:10" x14ac:dyDescent="0.2">
      <c r="A95" s="1" t="s">
        <v>104</v>
      </c>
      <c r="B95" s="1" t="str" cm="1">
        <f t="array" ref="B95">_xlfn.IFS(C95="Electronics","P001", C95="MRO","P002", C95="Office Supplies","P003", C95="Packaging","P004", C95="Raw Materials","P005")</f>
        <v>P004</v>
      </c>
      <c r="C95" s="2" t="s">
        <v>164</v>
      </c>
      <c r="D95" s="1" t="s">
        <v>163</v>
      </c>
      <c r="E95" s="3">
        <v>300.5</v>
      </c>
      <c r="F95" s="1" t="s">
        <v>163</v>
      </c>
      <c r="G95" s="1" t="s">
        <v>163</v>
      </c>
      <c r="H95" s="1" t="s">
        <v>163</v>
      </c>
      <c r="I95" s="1" t="s">
        <v>163</v>
      </c>
      <c r="J95" s="1">
        <v>1</v>
      </c>
    </row>
    <row r="96" spans="1:10" x14ac:dyDescent="0.2">
      <c r="A96" s="1" t="s">
        <v>105</v>
      </c>
      <c r="B96" s="1" t="str" cm="1">
        <f t="array" ref="B96">_xlfn.IFS(C96="Electronics","P001", C96="MRO","P002", C96="Office Supplies","P003", C96="Packaging","P004", C96="Raw Materials","P005")</f>
        <v>P003</v>
      </c>
      <c r="C96" s="2" t="s">
        <v>10</v>
      </c>
      <c r="D96" s="1" t="s">
        <v>163</v>
      </c>
      <c r="E96" s="3">
        <v>300.5</v>
      </c>
      <c r="F96" s="1" t="s">
        <v>163</v>
      </c>
      <c r="G96" s="1" t="s">
        <v>161</v>
      </c>
      <c r="H96" s="1" t="s">
        <v>162</v>
      </c>
      <c r="I96" s="1" t="s">
        <v>163</v>
      </c>
      <c r="J96" s="1">
        <v>1</v>
      </c>
    </row>
    <row r="97" spans="1:10" x14ac:dyDescent="0.2">
      <c r="A97" s="1" t="s">
        <v>106</v>
      </c>
      <c r="B97" s="1" t="str" cm="1">
        <f t="array" ref="B97">_xlfn.IFS(C97="Electronics","P001", C97="MRO","P002", C97="Office Supplies","P003", C97="Packaging","P004", C97="Raw Materials","P005")</f>
        <v>P001</v>
      </c>
      <c r="C97" s="2" t="s">
        <v>8</v>
      </c>
      <c r="D97" s="1" t="s">
        <v>161</v>
      </c>
      <c r="E97" s="3">
        <v>50.5</v>
      </c>
      <c r="F97" s="1" t="s">
        <v>161</v>
      </c>
      <c r="G97" s="1" t="s">
        <v>162</v>
      </c>
      <c r="H97" s="1" t="s">
        <v>163</v>
      </c>
      <c r="I97" s="1" t="s">
        <v>161</v>
      </c>
      <c r="J97" s="1">
        <v>1</v>
      </c>
    </row>
    <row r="98" spans="1:10" x14ac:dyDescent="0.2">
      <c r="A98" s="1" t="s">
        <v>107</v>
      </c>
      <c r="B98" s="1" t="str" cm="1">
        <f t="array" ref="B98">_xlfn.IFS(C98="Electronics","P001", C98="MRO","P002", C98="Office Supplies","P003", C98="Packaging","P004", C98="Raw Materials","P005")</f>
        <v>P001</v>
      </c>
      <c r="C98" s="2" t="s">
        <v>8</v>
      </c>
      <c r="D98" s="1" t="s">
        <v>161</v>
      </c>
      <c r="E98" s="3">
        <v>50.5</v>
      </c>
      <c r="F98" s="1" t="s">
        <v>161</v>
      </c>
      <c r="G98" s="1" t="s">
        <v>161</v>
      </c>
      <c r="H98" s="1" t="s">
        <v>163</v>
      </c>
      <c r="I98" s="1" t="s">
        <v>161</v>
      </c>
      <c r="J98" s="1">
        <v>1</v>
      </c>
    </row>
    <row r="99" spans="1:10" x14ac:dyDescent="0.2">
      <c r="A99" s="1" t="s">
        <v>108</v>
      </c>
      <c r="B99" s="1" t="str" cm="1">
        <f t="array" ref="B99">_xlfn.IFS(C99="Electronics","P001", C99="MRO","P002", C99="Office Supplies","P003", C99="Packaging","P004", C99="Raw Materials","P005")</f>
        <v>P004</v>
      </c>
      <c r="C99" s="2" t="s">
        <v>164</v>
      </c>
      <c r="D99" s="1" t="s">
        <v>161</v>
      </c>
      <c r="E99" s="3">
        <v>50.5</v>
      </c>
      <c r="F99" s="1" t="s">
        <v>163</v>
      </c>
      <c r="G99" s="1" t="s">
        <v>161</v>
      </c>
      <c r="H99" s="1" t="s">
        <v>163</v>
      </c>
      <c r="I99" s="1" t="s">
        <v>163</v>
      </c>
      <c r="J99" s="1">
        <v>1</v>
      </c>
    </row>
    <row r="100" spans="1:10" x14ac:dyDescent="0.2">
      <c r="A100" s="1" t="s">
        <v>109</v>
      </c>
      <c r="B100" s="1" t="str" cm="1">
        <f t="array" ref="B100">_xlfn.IFS(C100="Electronics","P001", C100="MRO","P002", C100="Office Supplies","P003", C100="Packaging","P004", C100="Raw Materials","P005")</f>
        <v>P001</v>
      </c>
      <c r="C100" s="2" t="s">
        <v>8</v>
      </c>
      <c r="D100" s="1" t="s">
        <v>162</v>
      </c>
      <c r="E100" s="3">
        <v>50.5</v>
      </c>
      <c r="F100" s="1" t="s">
        <v>163</v>
      </c>
      <c r="G100" s="1" t="s">
        <v>161</v>
      </c>
      <c r="H100" s="1" t="s">
        <v>163</v>
      </c>
      <c r="I100" s="1" t="s">
        <v>163</v>
      </c>
      <c r="J100" s="1">
        <v>1</v>
      </c>
    </row>
    <row r="101" spans="1:10" x14ac:dyDescent="0.2">
      <c r="A101" s="1" t="s">
        <v>110</v>
      </c>
      <c r="B101" s="1" t="str" cm="1">
        <f t="array" ref="B101">_xlfn.IFS(C101="Electronics","P001", C101="MRO","P002", C101="Office Supplies","P003", C101="Packaging","P004", C101="Raw Materials","P005")</f>
        <v>P001</v>
      </c>
      <c r="C101" s="2" t="s">
        <v>8</v>
      </c>
      <c r="D101" s="1" t="s">
        <v>163</v>
      </c>
      <c r="E101" s="3">
        <v>50.5</v>
      </c>
      <c r="F101" s="1" t="s">
        <v>162</v>
      </c>
      <c r="G101" s="1" t="s">
        <v>163</v>
      </c>
      <c r="H101" s="1" t="s">
        <v>163</v>
      </c>
      <c r="I101" s="1" t="s">
        <v>163</v>
      </c>
      <c r="J101" s="1">
        <v>1</v>
      </c>
    </row>
    <row r="102" spans="1:10" x14ac:dyDescent="0.2">
      <c r="A102" s="1" t="s">
        <v>111</v>
      </c>
      <c r="B102" s="1" t="str" cm="1">
        <f t="array" ref="B102">_xlfn.IFS(C102="Electronics","P001", C102="MRO","P002", C102="Office Supplies","P003", C102="Packaging","P004", C102="Raw Materials","P005")</f>
        <v>P005</v>
      </c>
      <c r="C102" s="2" t="s">
        <v>9</v>
      </c>
      <c r="D102" s="1" t="s">
        <v>163</v>
      </c>
      <c r="E102" s="3">
        <v>50.5</v>
      </c>
      <c r="F102" s="1" t="s">
        <v>163</v>
      </c>
      <c r="G102" s="1" t="s">
        <v>162</v>
      </c>
      <c r="H102" s="1" t="s">
        <v>163</v>
      </c>
      <c r="I102" s="1" t="s">
        <v>162</v>
      </c>
      <c r="J102" s="1">
        <v>1</v>
      </c>
    </row>
    <row r="103" spans="1:10" x14ac:dyDescent="0.2">
      <c r="A103" s="1" t="s">
        <v>112</v>
      </c>
      <c r="B103" s="1" t="str" cm="1">
        <f t="array" ref="B103">_xlfn.IFS(C103="Electronics","P001", C103="MRO","P002", C103="Office Supplies","P003", C103="Packaging","P004", C103="Raw Materials","P005")</f>
        <v>P004</v>
      </c>
      <c r="C103" s="2" t="s">
        <v>164</v>
      </c>
      <c r="D103" s="1" t="s">
        <v>162</v>
      </c>
      <c r="E103" s="3">
        <v>50.5</v>
      </c>
      <c r="F103" s="1" t="s">
        <v>163</v>
      </c>
      <c r="G103" s="1" t="s">
        <v>161</v>
      </c>
      <c r="H103" s="1" t="s">
        <v>161</v>
      </c>
      <c r="I103" s="1" t="s">
        <v>161</v>
      </c>
      <c r="J103" s="1">
        <v>1</v>
      </c>
    </row>
    <row r="104" spans="1:10" x14ac:dyDescent="0.2">
      <c r="A104" s="1" t="s">
        <v>113</v>
      </c>
      <c r="B104" s="1" t="str" cm="1">
        <f t="array" ref="B104">_xlfn.IFS(C104="Electronics","P001", C104="MRO","P002", C104="Office Supplies","P003", C104="Packaging","P004", C104="Raw Materials","P005")</f>
        <v>P005</v>
      </c>
      <c r="C104" s="2" t="s">
        <v>9</v>
      </c>
      <c r="D104" s="1" t="s">
        <v>163</v>
      </c>
      <c r="E104" s="3">
        <v>300.5</v>
      </c>
      <c r="F104" s="1" t="s">
        <v>161</v>
      </c>
      <c r="G104" s="1" t="s">
        <v>162</v>
      </c>
      <c r="H104" s="1" t="s">
        <v>161</v>
      </c>
      <c r="I104" s="1" t="s">
        <v>163</v>
      </c>
      <c r="J104" s="1">
        <v>1</v>
      </c>
    </row>
    <row r="105" spans="1:10" x14ac:dyDescent="0.2">
      <c r="A105" s="1" t="s">
        <v>114</v>
      </c>
      <c r="B105" s="1" t="str" cm="1">
        <f t="array" ref="B105">_xlfn.IFS(C105="Electronics","P001", C105="MRO","P002", C105="Office Supplies","P003", C105="Packaging","P004", C105="Raw Materials","P005")</f>
        <v>P002</v>
      </c>
      <c r="C105" s="2" t="s">
        <v>165</v>
      </c>
      <c r="D105" s="1" t="s">
        <v>161</v>
      </c>
      <c r="E105" s="3">
        <v>300.5</v>
      </c>
      <c r="F105" s="1" t="s">
        <v>163</v>
      </c>
      <c r="G105" s="1" t="s">
        <v>163</v>
      </c>
      <c r="H105" s="1" t="s">
        <v>163</v>
      </c>
      <c r="I105" s="1" t="s">
        <v>163</v>
      </c>
      <c r="J105" s="1">
        <v>1</v>
      </c>
    </row>
    <row r="106" spans="1:10" x14ac:dyDescent="0.2">
      <c r="A106" s="1" t="s">
        <v>115</v>
      </c>
      <c r="B106" s="1" t="str" cm="1">
        <f t="array" ref="B106">_xlfn.IFS(C106="Electronics","P001", C106="MRO","P002", C106="Office Supplies","P003", C106="Packaging","P004", C106="Raw Materials","P005")</f>
        <v>P005</v>
      </c>
      <c r="C106" s="2" t="s">
        <v>9</v>
      </c>
      <c r="D106" s="1" t="s">
        <v>161</v>
      </c>
      <c r="E106" s="3">
        <v>300.5</v>
      </c>
      <c r="F106" s="1" t="s">
        <v>163</v>
      </c>
      <c r="G106" s="1" t="s">
        <v>161</v>
      </c>
      <c r="H106" s="1" t="s">
        <v>163</v>
      </c>
      <c r="I106" s="1" t="s">
        <v>163</v>
      </c>
      <c r="J106" s="1">
        <v>1</v>
      </c>
    </row>
    <row r="107" spans="1:10" x14ac:dyDescent="0.2">
      <c r="A107" s="1" t="s">
        <v>116</v>
      </c>
      <c r="B107" s="1" t="str" cm="1">
        <f t="array" ref="B107">_xlfn.IFS(C107="Electronics","P001", C107="MRO","P002", C107="Office Supplies","P003", C107="Packaging","P004", C107="Raw Materials","P005")</f>
        <v>P001</v>
      </c>
      <c r="C107" s="2" t="s">
        <v>8</v>
      </c>
      <c r="D107" s="1" t="s">
        <v>162</v>
      </c>
      <c r="E107" s="3">
        <v>50.5</v>
      </c>
      <c r="F107" s="1" t="s">
        <v>161</v>
      </c>
      <c r="G107" s="1" t="s">
        <v>161</v>
      </c>
      <c r="H107" s="1" t="s">
        <v>161</v>
      </c>
      <c r="I107" s="1" t="s">
        <v>163</v>
      </c>
      <c r="J107" s="1">
        <v>1</v>
      </c>
    </row>
    <row r="108" spans="1:10" x14ac:dyDescent="0.2">
      <c r="A108" s="1" t="s">
        <v>117</v>
      </c>
      <c r="B108" s="1" t="str" cm="1">
        <f t="array" ref="B108">_xlfn.IFS(C108="Electronics","P001", C108="MRO","P002", C108="Office Supplies","P003", C108="Packaging","P004", C108="Raw Materials","P005")</f>
        <v>P004</v>
      </c>
      <c r="C108" s="2" t="s">
        <v>164</v>
      </c>
      <c r="D108" s="1" t="s">
        <v>163</v>
      </c>
      <c r="E108" s="3">
        <v>50.5</v>
      </c>
      <c r="F108" s="1" t="s">
        <v>162</v>
      </c>
      <c r="G108" s="1" t="s">
        <v>163</v>
      </c>
      <c r="H108" s="1" t="s">
        <v>163</v>
      </c>
      <c r="I108" s="1" t="s">
        <v>163</v>
      </c>
      <c r="J108" s="1">
        <v>1</v>
      </c>
    </row>
    <row r="109" spans="1:10" x14ac:dyDescent="0.2">
      <c r="A109" s="1" t="s">
        <v>118</v>
      </c>
      <c r="B109" s="1" t="str" cm="1">
        <f t="array" ref="B109">_xlfn.IFS(C109="Electronics","P001", C109="MRO","P002", C109="Office Supplies","P003", C109="Packaging","P004", C109="Raw Materials","P005")</f>
        <v>P001</v>
      </c>
      <c r="C109" s="2" t="s">
        <v>8</v>
      </c>
      <c r="D109" s="1" t="s">
        <v>161</v>
      </c>
      <c r="E109" s="3">
        <v>50.5</v>
      </c>
      <c r="F109" s="1" t="s">
        <v>162</v>
      </c>
      <c r="G109" s="1" t="s">
        <v>162</v>
      </c>
      <c r="H109" s="1" t="s">
        <v>163</v>
      </c>
      <c r="I109" s="1" t="s">
        <v>163</v>
      </c>
      <c r="J109" s="1">
        <v>1</v>
      </c>
    </row>
    <row r="110" spans="1:10" x14ac:dyDescent="0.2">
      <c r="A110" s="1" t="s">
        <v>119</v>
      </c>
      <c r="B110" s="1" t="str" cm="1">
        <f t="array" ref="B110">_xlfn.IFS(C110="Electronics","P001", C110="MRO","P002", C110="Office Supplies","P003", C110="Packaging","P004", C110="Raw Materials","P005")</f>
        <v>P001</v>
      </c>
      <c r="C110" s="2" t="s">
        <v>8</v>
      </c>
      <c r="D110" s="1" t="s">
        <v>161</v>
      </c>
      <c r="E110" s="3">
        <v>50.5</v>
      </c>
      <c r="F110" s="1" t="s">
        <v>163</v>
      </c>
      <c r="G110" s="1" t="s">
        <v>161</v>
      </c>
      <c r="H110" s="1" t="s">
        <v>163</v>
      </c>
      <c r="I110" s="1" t="s">
        <v>163</v>
      </c>
      <c r="J110" s="1">
        <v>1</v>
      </c>
    </row>
    <row r="111" spans="1:10" x14ac:dyDescent="0.2">
      <c r="A111" s="1" t="s">
        <v>120</v>
      </c>
      <c r="B111" s="1" t="str" cm="1">
        <f t="array" ref="B111">_xlfn.IFS(C111="Electronics","P001", C111="MRO","P002", C111="Office Supplies","P003", C111="Packaging","P004", C111="Raw Materials","P005")</f>
        <v>P001</v>
      </c>
      <c r="C111" s="2" t="s">
        <v>8</v>
      </c>
      <c r="D111" s="1" t="s">
        <v>161</v>
      </c>
      <c r="E111" s="3">
        <v>50.5</v>
      </c>
      <c r="F111" s="1" t="s">
        <v>163</v>
      </c>
      <c r="G111" s="1" t="s">
        <v>161</v>
      </c>
      <c r="H111" s="1" t="s">
        <v>163</v>
      </c>
      <c r="I111" s="1" t="s">
        <v>163</v>
      </c>
      <c r="J111" s="1">
        <v>1</v>
      </c>
    </row>
    <row r="112" spans="1:10" x14ac:dyDescent="0.2">
      <c r="A112" s="1" t="s">
        <v>121</v>
      </c>
      <c r="B112" s="1" t="str" cm="1">
        <f t="array" ref="B112">_xlfn.IFS(C112="Electronics","P001", C112="MRO","P002", C112="Office Supplies","P003", C112="Packaging","P004", C112="Raw Materials","P005")</f>
        <v>P001</v>
      </c>
      <c r="C112" s="2" t="s">
        <v>8</v>
      </c>
      <c r="D112" s="1" t="s">
        <v>163</v>
      </c>
      <c r="E112" s="3">
        <v>50.5</v>
      </c>
      <c r="F112" s="1" t="s">
        <v>163</v>
      </c>
      <c r="G112" s="1" t="s">
        <v>161</v>
      </c>
      <c r="H112" s="1" t="s">
        <v>163</v>
      </c>
      <c r="I112" s="1" t="s">
        <v>163</v>
      </c>
      <c r="J112" s="1">
        <v>1</v>
      </c>
    </row>
    <row r="113" spans="1:10" x14ac:dyDescent="0.2">
      <c r="A113" s="1" t="s">
        <v>122</v>
      </c>
      <c r="B113" s="1" t="str" cm="1">
        <f t="array" ref="B113">_xlfn.IFS(C113="Electronics","P001", C113="MRO","P002", C113="Office Supplies","P003", C113="Packaging","P004", C113="Raw Materials","P005")</f>
        <v>P001</v>
      </c>
      <c r="C113" s="2" t="s">
        <v>8</v>
      </c>
      <c r="D113" s="1" t="s">
        <v>162</v>
      </c>
      <c r="E113" s="3">
        <v>50.5</v>
      </c>
      <c r="F113" s="1" t="s">
        <v>163</v>
      </c>
      <c r="G113" s="1" t="s">
        <v>161</v>
      </c>
      <c r="H113" s="1" t="s">
        <v>163</v>
      </c>
      <c r="I113" s="1" t="s">
        <v>161</v>
      </c>
      <c r="J113" s="1">
        <v>1</v>
      </c>
    </row>
    <row r="114" spans="1:10" x14ac:dyDescent="0.2">
      <c r="A114" s="1" t="s">
        <v>123</v>
      </c>
      <c r="B114" s="1" t="str" cm="1">
        <f t="array" ref="B114">_xlfn.IFS(C114="Electronics","P001", C114="MRO","P002", C114="Office Supplies","P003", C114="Packaging","P004", C114="Raw Materials","P005")</f>
        <v>P003</v>
      </c>
      <c r="C114" s="2" t="s">
        <v>10</v>
      </c>
      <c r="D114" s="1" t="s">
        <v>163</v>
      </c>
      <c r="E114" s="3">
        <v>50.5</v>
      </c>
      <c r="F114" s="1" t="s">
        <v>163</v>
      </c>
      <c r="G114" s="1" t="s">
        <v>162</v>
      </c>
      <c r="H114" s="1" t="s">
        <v>163</v>
      </c>
      <c r="I114" s="1" t="s">
        <v>163</v>
      </c>
      <c r="J114" s="1">
        <v>1</v>
      </c>
    </row>
    <row r="115" spans="1:10" x14ac:dyDescent="0.2">
      <c r="A115" s="1" t="s">
        <v>124</v>
      </c>
      <c r="B115" s="1" t="str" cm="1">
        <f t="array" ref="B115">_xlfn.IFS(C115="Electronics","P001", C115="MRO","P002", C115="Office Supplies","P003", C115="Packaging","P004", C115="Raw Materials","P005")</f>
        <v>P001</v>
      </c>
      <c r="C115" s="2" t="s">
        <v>8</v>
      </c>
      <c r="D115" s="1" t="s">
        <v>162</v>
      </c>
      <c r="E115" s="3">
        <v>50.5</v>
      </c>
      <c r="F115" s="1" t="s">
        <v>163</v>
      </c>
      <c r="G115" s="1" t="s">
        <v>161</v>
      </c>
      <c r="H115" s="1" t="s">
        <v>163</v>
      </c>
      <c r="I115" s="1" t="s">
        <v>163</v>
      </c>
      <c r="J115" s="1">
        <v>1</v>
      </c>
    </row>
    <row r="116" spans="1:10" x14ac:dyDescent="0.2">
      <c r="A116" s="1" t="s">
        <v>125</v>
      </c>
      <c r="B116" s="1" t="str" cm="1">
        <f t="array" ref="B116">_xlfn.IFS(C116="Electronics","P001", C116="MRO","P002", C116="Office Supplies","P003", C116="Packaging","P004", C116="Raw Materials","P005")</f>
        <v>P001</v>
      </c>
      <c r="C116" s="2" t="s">
        <v>8</v>
      </c>
      <c r="D116" s="1" t="s">
        <v>162</v>
      </c>
      <c r="E116" s="3">
        <v>50.5</v>
      </c>
      <c r="F116" s="1" t="s">
        <v>163</v>
      </c>
      <c r="G116" s="1" t="s">
        <v>161</v>
      </c>
      <c r="H116" s="1" t="s">
        <v>161</v>
      </c>
      <c r="I116" s="1" t="s">
        <v>161</v>
      </c>
      <c r="J116" s="1">
        <v>1</v>
      </c>
    </row>
    <row r="117" spans="1:10" x14ac:dyDescent="0.2">
      <c r="A117" s="1" t="s">
        <v>126</v>
      </c>
      <c r="B117" s="1" t="str" cm="1">
        <f t="array" ref="B117">_xlfn.IFS(C117="Electronics","P001", C117="MRO","P002", C117="Office Supplies","P003", C117="Packaging","P004", C117="Raw Materials","P005")</f>
        <v>P001</v>
      </c>
      <c r="C117" s="2" t="s">
        <v>8</v>
      </c>
      <c r="D117" s="1" t="s">
        <v>162</v>
      </c>
      <c r="E117" s="3">
        <v>50.5</v>
      </c>
      <c r="F117" s="1" t="s">
        <v>161</v>
      </c>
      <c r="G117" s="1" t="s">
        <v>163</v>
      </c>
      <c r="H117" s="1" t="s">
        <v>163</v>
      </c>
      <c r="I117" s="1" t="s">
        <v>161</v>
      </c>
      <c r="J117" s="1">
        <v>1</v>
      </c>
    </row>
    <row r="118" spans="1:10" x14ac:dyDescent="0.2">
      <c r="A118" s="1" t="s">
        <v>127</v>
      </c>
      <c r="B118" s="1" t="str" cm="1">
        <f t="array" ref="B118">_xlfn.IFS(C118="Electronics","P001", C118="MRO","P002", C118="Office Supplies","P003", C118="Packaging","P004", C118="Raw Materials","P005")</f>
        <v>P001</v>
      </c>
      <c r="C118" s="2" t="s">
        <v>8</v>
      </c>
      <c r="D118" s="1" t="s">
        <v>161</v>
      </c>
      <c r="E118" s="3">
        <v>50.5</v>
      </c>
      <c r="F118" s="1" t="s">
        <v>161</v>
      </c>
      <c r="G118" s="1" t="s">
        <v>161</v>
      </c>
      <c r="H118" s="1" t="s">
        <v>161</v>
      </c>
      <c r="I118" s="1" t="s">
        <v>163</v>
      </c>
      <c r="J118" s="1">
        <v>1</v>
      </c>
    </row>
    <row r="119" spans="1:10" x14ac:dyDescent="0.2">
      <c r="A119" s="1" t="s">
        <v>128</v>
      </c>
      <c r="B119" s="1" t="str" cm="1">
        <f t="array" ref="B119">_xlfn.IFS(C119="Electronics","P001", C119="MRO","P002", C119="Office Supplies","P003", C119="Packaging","P004", C119="Raw Materials","P005")</f>
        <v>P003</v>
      </c>
      <c r="C119" s="2" t="s">
        <v>10</v>
      </c>
      <c r="D119" s="1" t="s">
        <v>161</v>
      </c>
      <c r="E119" s="3">
        <v>50.5</v>
      </c>
      <c r="F119" s="1" t="s">
        <v>163</v>
      </c>
      <c r="G119" s="1" t="s">
        <v>161</v>
      </c>
      <c r="H119" s="1" t="s">
        <v>163</v>
      </c>
      <c r="I119" s="1" t="s">
        <v>161</v>
      </c>
      <c r="J119" s="1">
        <v>1</v>
      </c>
    </row>
    <row r="120" spans="1:10" x14ac:dyDescent="0.2">
      <c r="A120" s="1" t="s">
        <v>129</v>
      </c>
      <c r="B120" s="1" t="str" cm="1">
        <f t="array" ref="B120">_xlfn.IFS(C120="Electronics","P001", C120="MRO","P002", C120="Office Supplies","P003", C120="Packaging","P004", C120="Raw Materials","P005")</f>
        <v>P001</v>
      </c>
      <c r="C120" s="2" t="s">
        <v>8</v>
      </c>
      <c r="D120" s="1" t="s">
        <v>162</v>
      </c>
      <c r="E120" s="3">
        <v>50.5</v>
      </c>
      <c r="F120" s="1" t="s">
        <v>161</v>
      </c>
      <c r="G120" s="1" t="s">
        <v>162</v>
      </c>
      <c r="H120" s="1" t="s">
        <v>161</v>
      </c>
      <c r="I120" s="1" t="s">
        <v>162</v>
      </c>
      <c r="J120" s="1">
        <v>1</v>
      </c>
    </row>
    <row r="121" spans="1:10" x14ac:dyDescent="0.2">
      <c r="A121" s="1" t="s">
        <v>130</v>
      </c>
      <c r="B121" s="1" t="str" cm="1">
        <f t="array" ref="B121">_xlfn.IFS(C121="Electronics","P001", C121="MRO","P002", C121="Office Supplies","P003", C121="Packaging","P004", C121="Raw Materials","P005")</f>
        <v>P001</v>
      </c>
      <c r="C121" s="2" t="s">
        <v>8</v>
      </c>
      <c r="D121" s="1" t="s">
        <v>162</v>
      </c>
      <c r="E121" s="3">
        <v>50.5</v>
      </c>
      <c r="F121" s="1" t="s">
        <v>163</v>
      </c>
      <c r="G121" s="1" t="s">
        <v>161</v>
      </c>
      <c r="H121" s="1" t="s">
        <v>163</v>
      </c>
      <c r="I121" s="1" t="s">
        <v>163</v>
      </c>
      <c r="J121" s="1">
        <v>1</v>
      </c>
    </row>
    <row r="122" spans="1:10" x14ac:dyDescent="0.2">
      <c r="A122" s="1" t="s">
        <v>131</v>
      </c>
      <c r="B122" s="1" t="str" cm="1">
        <f t="array" ref="B122">_xlfn.IFS(C122="Electronics","P001", C122="MRO","P002", C122="Office Supplies","P003", C122="Packaging","P004", C122="Raw Materials","P005")</f>
        <v>P003</v>
      </c>
      <c r="C122" s="2" t="s">
        <v>10</v>
      </c>
      <c r="D122" s="1" t="s">
        <v>162</v>
      </c>
      <c r="E122" s="3">
        <v>50.5</v>
      </c>
      <c r="F122" s="1" t="s">
        <v>163</v>
      </c>
      <c r="G122" s="1" t="s">
        <v>163</v>
      </c>
      <c r="H122" s="1" t="s">
        <v>163</v>
      </c>
      <c r="I122" s="1" t="s">
        <v>161</v>
      </c>
      <c r="J122" s="1">
        <v>1</v>
      </c>
    </row>
    <row r="123" spans="1:10" x14ac:dyDescent="0.2">
      <c r="A123" s="1" t="s">
        <v>132</v>
      </c>
      <c r="B123" s="1" t="str" cm="1">
        <f t="array" ref="B123">_xlfn.IFS(C123="Electronics","P001", C123="MRO","P002", C123="Office Supplies","P003", C123="Packaging","P004", C123="Raw Materials","P005")</f>
        <v>P004</v>
      </c>
      <c r="C123" s="2" t="s">
        <v>164</v>
      </c>
      <c r="D123" s="1" t="s">
        <v>161</v>
      </c>
      <c r="E123" s="3">
        <v>300.5</v>
      </c>
      <c r="F123" s="1" t="s">
        <v>161</v>
      </c>
      <c r="G123" s="1" t="s">
        <v>162</v>
      </c>
      <c r="H123" s="1" t="s">
        <v>163</v>
      </c>
      <c r="I123" s="1" t="s">
        <v>163</v>
      </c>
      <c r="J123" s="1">
        <v>1</v>
      </c>
    </row>
    <row r="124" spans="1:10" x14ac:dyDescent="0.2">
      <c r="A124" s="1" t="s">
        <v>133</v>
      </c>
      <c r="B124" s="1" t="str" cm="1">
        <f t="array" ref="B124">_xlfn.IFS(C124="Electronics","P001", C124="MRO","P002", C124="Office Supplies","P003", C124="Packaging","P004", C124="Raw Materials","P005")</f>
        <v>P005</v>
      </c>
      <c r="C124" s="2" t="s">
        <v>9</v>
      </c>
      <c r="D124" s="1" t="s">
        <v>162</v>
      </c>
      <c r="E124" s="3">
        <v>1000</v>
      </c>
      <c r="F124" s="1" t="s">
        <v>162</v>
      </c>
      <c r="G124" s="1" t="s">
        <v>161</v>
      </c>
      <c r="H124" s="1" t="s">
        <v>163</v>
      </c>
      <c r="I124" s="1" t="s">
        <v>163</v>
      </c>
      <c r="J124" s="1">
        <v>1</v>
      </c>
    </row>
    <row r="125" spans="1:10" x14ac:dyDescent="0.2">
      <c r="A125" s="1" t="s">
        <v>134</v>
      </c>
      <c r="B125" s="1" t="str" cm="1">
        <f t="array" ref="B125">_xlfn.IFS(C125="Electronics","P001", C125="MRO","P002", C125="Office Supplies","P003", C125="Packaging","P004", C125="Raw Materials","P005")</f>
        <v>P001</v>
      </c>
      <c r="C125" s="2" t="s">
        <v>8</v>
      </c>
      <c r="D125" s="1" t="s">
        <v>162</v>
      </c>
      <c r="E125" s="3">
        <v>1500</v>
      </c>
      <c r="F125" s="1" t="s">
        <v>163</v>
      </c>
      <c r="G125" s="1" t="s">
        <v>163</v>
      </c>
      <c r="H125" s="1" t="s">
        <v>162</v>
      </c>
      <c r="I125" s="1" t="s">
        <v>163</v>
      </c>
      <c r="J125" s="1">
        <v>1</v>
      </c>
    </row>
    <row r="126" spans="1:10" x14ac:dyDescent="0.2">
      <c r="A126" s="1" t="s">
        <v>135</v>
      </c>
      <c r="B126" s="1" t="str" cm="1">
        <f t="array" ref="B126">_xlfn.IFS(C126="Electronics","P001", C126="MRO","P002", C126="Office Supplies","P003", C126="Packaging","P004", C126="Raw Materials","P005")</f>
        <v>P004</v>
      </c>
      <c r="C126" s="2" t="s">
        <v>164</v>
      </c>
      <c r="D126" s="1" t="s">
        <v>162</v>
      </c>
      <c r="E126" s="3">
        <v>300.5</v>
      </c>
      <c r="F126" s="1" t="s">
        <v>161</v>
      </c>
      <c r="G126" s="1" t="s">
        <v>161</v>
      </c>
      <c r="H126" s="1" t="s">
        <v>161</v>
      </c>
      <c r="I126" s="1" t="s">
        <v>163</v>
      </c>
      <c r="J126" s="1">
        <v>1</v>
      </c>
    </row>
    <row r="127" spans="1:10" x14ac:dyDescent="0.2">
      <c r="A127" s="1" t="s">
        <v>136</v>
      </c>
      <c r="B127" s="1" t="str" cm="1">
        <f t="array" ref="B127">_xlfn.IFS(C127="Electronics","P001", C127="MRO","P002", C127="Office Supplies","P003", C127="Packaging","P004", C127="Raw Materials","P005")</f>
        <v>P003</v>
      </c>
      <c r="C127" s="2" t="s">
        <v>10</v>
      </c>
      <c r="D127" s="1" t="s">
        <v>163</v>
      </c>
      <c r="E127" s="3">
        <v>50.5</v>
      </c>
      <c r="F127" s="1" t="s">
        <v>163</v>
      </c>
      <c r="G127" s="1" t="s">
        <v>161</v>
      </c>
      <c r="H127" s="1" t="s">
        <v>163</v>
      </c>
      <c r="I127" s="1" t="s">
        <v>162</v>
      </c>
      <c r="J127" s="1">
        <v>1</v>
      </c>
    </row>
    <row r="128" spans="1:10" x14ac:dyDescent="0.2">
      <c r="A128" s="1" t="s">
        <v>137</v>
      </c>
      <c r="B128" s="1" t="str" cm="1">
        <f t="array" ref="B128">_xlfn.IFS(C128="Electronics","P001", C128="MRO","P002", C128="Office Supplies","P003", C128="Packaging","P004", C128="Raw Materials","P005")</f>
        <v>P002</v>
      </c>
      <c r="C128" s="2" t="s">
        <v>165</v>
      </c>
      <c r="D128" s="1" t="s">
        <v>163</v>
      </c>
      <c r="E128" s="3">
        <v>300.5</v>
      </c>
      <c r="F128" s="1" t="s">
        <v>163</v>
      </c>
      <c r="G128" s="1" t="s">
        <v>161</v>
      </c>
      <c r="H128" s="1" t="s">
        <v>163</v>
      </c>
      <c r="I128" s="1" t="s">
        <v>163</v>
      </c>
      <c r="J128" s="1">
        <v>1</v>
      </c>
    </row>
    <row r="129" spans="1:10" x14ac:dyDescent="0.2">
      <c r="A129" s="1" t="s">
        <v>138</v>
      </c>
      <c r="B129" s="1" t="str" cm="1">
        <f t="array" ref="B129">_xlfn.IFS(C129="Electronics","P001", C129="MRO","P002", C129="Office Supplies","P003", C129="Packaging","P004", C129="Raw Materials","P005")</f>
        <v>P002</v>
      </c>
      <c r="C129" s="2" t="s">
        <v>165</v>
      </c>
      <c r="D129" s="1" t="s">
        <v>162</v>
      </c>
      <c r="E129" s="3">
        <v>750.5</v>
      </c>
      <c r="F129" s="1" t="s">
        <v>163</v>
      </c>
      <c r="G129" s="1" t="s">
        <v>163</v>
      </c>
      <c r="H129" s="1" t="s">
        <v>163</v>
      </c>
      <c r="I129" s="1" t="s">
        <v>163</v>
      </c>
      <c r="J129" s="1">
        <v>1</v>
      </c>
    </row>
    <row r="130" spans="1:10" x14ac:dyDescent="0.2">
      <c r="A130" s="1" t="s">
        <v>139</v>
      </c>
      <c r="B130" s="1" t="str" cm="1">
        <f t="array" ref="B130">_xlfn.IFS(C130="Electronics","P001", C130="MRO","P002", C130="Office Supplies","P003", C130="Packaging","P004", C130="Raw Materials","P005")</f>
        <v>P001</v>
      </c>
      <c r="C130" s="2" t="s">
        <v>8</v>
      </c>
      <c r="D130" s="1" t="s">
        <v>162</v>
      </c>
      <c r="E130" s="3">
        <v>750.5</v>
      </c>
      <c r="F130" s="1" t="s">
        <v>163</v>
      </c>
      <c r="G130" s="1" t="s">
        <v>161</v>
      </c>
      <c r="H130" s="1" t="s">
        <v>163</v>
      </c>
      <c r="I130" s="1" t="s">
        <v>163</v>
      </c>
      <c r="J130" s="1">
        <v>1</v>
      </c>
    </row>
    <row r="131" spans="1:10" x14ac:dyDescent="0.2">
      <c r="A131" s="1" t="s">
        <v>140</v>
      </c>
      <c r="B131" s="1" t="str" cm="1">
        <f t="array" ref="B131">_xlfn.IFS(C131="Electronics","P001", C131="MRO","P002", C131="Office Supplies","P003", C131="Packaging","P004", C131="Raw Materials","P005")</f>
        <v>P005</v>
      </c>
      <c r="C131" s="2" t="s">
        <v>9</v>
      </c>
      <c r="D131" s="1" t="s">
        <v>163</v>
      </c>
      <c r="E131" s="3">
        <v>300.5</v>
      </c>
      <c r="F131" s="1" t="s">
        <v>163</v>
      </c>
      <c r="G131" s="1" t="s">
        <v>161</v>
      </c>
      <c r="H131" s="1" t="s">
        <v>163</v>
      </c>
      <c r="I131" s="1" t="s">
        <v>163</v>
      </c>
      <c r="J131" s="1">
        <v>1</v>
      </c>
    </row>
    <row r="132" spans="1:10" x14ac:dyDescent="0.2">
      <c r="A132" s="1" t="s">
        <v>141</v>
      </c>
      <c r="B132" s="1" t="str" cm="1">
        <f t="array" ref="B132">_xlfn.IFS(C132="Electronics","P001", C132="MRO","P002", C132="Office Supplies","P003", C132="Packaging","P004", C132="Raw Materials","P005")</f>
        <v>P003</v>
      </c>
      <c r="C132" s="2" t="s">
        <v>10</v>
      </c>
      <c r="D132" s="1" t="s">
        <v>163</v>
      </c>
      <c r="E132" s="3">
        <v>50.5</v>
      </c>
      <c r="F132" s="1" t="s">
        <v>162</v>
      </c>
      <c r="G132" s="1" t="s">
        <v>161</v>
      </c>
      <c r="H132" s="1" t="s">
        <v>163</v>
      </c>
      <c r="I132" s="1" t="s">
        <v>163</v>
      </c>
      <c r="J132" s="1">
        <v>1</v>
      </c>
    </row>
    <row r="133" spans="1:10" x14ac:dyDescent="0.2">
      <c r="A133" s="1" t="s">
        <v>142</v>
      </c>
      <c r="B133" s="1" t="str" cm="1">
        <f t="array" ref="B133">_xlfn.IFS(C133="Electronics","P001", C133="MRO","P002", C133="Office Supplies","P003", C133="Packaging","P004", C133="Raw Materials","P005")</f>
        <v>P004</v>
      </c>
      <c r="C133" s="2" t="s">
        <v>164</v>
      </c>
      <c r="D133" s="1" t="s">
        <v>162</v>
      </c>
      <c r="E133" s="3">
        <v>750.5</v>
      </c>
      <c r="F133" s="1" t="s">
        <v>163</v>
      </c>
      <c r="G133" s="1" t="s">
        <v>161</v>
      </c>
      <c r="H133" s="1" t="s">
        <v>161</v>
      </c>
      <c r="I133" s="1" t="s">
        <v>161</v>
      </c>
      <c r="J133" s="1">
        <v>1</v>
      </c>
    </row>
    <row r="134" spans="1:10" x14ac:dyDescent="0.2">
      <c r="A134" s="1" t="s">
        <v>143</v>
      </c>
      <c r="B134" s="1" t="str" cm="1">
        <f t="array" ref="B134">_xlfn.IFS(C134="Electronics","P001", C134="MRO","P002", C134="Office Supplies","P003", C134="Packaging","P004", C134="Raw Materials","P005")</f>
        <v>P001</v>
      </c>
      <c r="C134" s="2" t="s">
        <v>8</v>
      </c>
      <c r="D134" s="1" t="s">
        <v>162</v>
      </c>
      <c r="E134" s="3">
        <v>50.5</v>
      </c>
      <c r="F134" s="1" t="s">
        <v>162</v>
      </c>
      <c r="G134" s="1" t="s">
        <v>163</v>
      </c>
      <c r="H134" s="1" t="s">
        <v>163</v>
      </c>
      <c r="I134" s="1" t="s">
        <v>163</v>
      </c>
      <c r="J134" s="1">
        <v>1</v>
      </c>
    </row>
    <row r="135" spans="1:10" x14ac:dyDescent="0.2">
      <c r="A135" s="1" t="s">
        <v>144</v>
      </c>
      <c r="B135" s="1" t="str" cm="1">
        <f t="array" ref="B135">_xlfn.IFS(C135="Electronics","P001", C135="MRO","P002", C135="Office Supplies","P003", C135="Packaging","P004", C135="Raw Materials","P005")</f>
        <v>P001</v>
      </c>
      <c r="C135" s="2" t="s">
        <v>8</v>
      </c>
      <c r="D135" s="1" t="s">
        <v>162</v>
      </c>
      <c r="E135" s="3">
        <v>1.5</v>
      </c>
      <c r="F135" s="1" t="s">
        <v>161</v>
      </c>
      <c r="G135" s="1" t="s">
        <v>162</v>
      </c>
      <c r="H135" s="1" t="s">
        <v>163</v>
      </c>
      <c r="I135" s="1" t="s">
        <v>161</v>
      </c>
      <c r="J135" s="1">
        <v>1</v>
      </c>
    </row>
    <row r="136" spans="1:10" x14ac:dyDescent="0.2">
      <c r="A136" s="1" t="s">
        <v>145</v>
      </c>
      <c r="B136" s="1" t="str" cm="1">
        <f t="array" ref="B136">_xlfn.IFS(C136="Electronics","P001", C136="MRO","P002", C136="Office Supplies","P003", C136="Packaging","P004", C136="Raw Materials","P005")</f>
        <v>P002</v>
      </c>
      <c r="C136" s="2" t="s">
        <v>165</v>
      </c>
      <c r="D136" s="1" t="s">
        <v>161</v>
      </c>
      <c r="E136" s="3">
        <v>750.5</v>
      </c>
      <c r="F136" s="1" t="s">
        <v>163</v>
      </c>
      <c r="G136" s="1" t="s">
        <v>163</v>
      </c>
      <c r="H136" s="1" t="s">
        <v>162</v>
      </c>
      <c r="I136" s="1" t="s">
        <v>161</v>
      </c>
      <c r="J136" s="1">
        <v>1</v>
      </c>
    </row>
    <row r="137" spans="1:10" x14ac:dyDescent="0.2">
      <c r="A137" s="1" t="s">
        <v>146</v>
      </c>
      <c r="B137" s="1" t="str" cm="1">
        <f t="array" ref="B137">_xlfn.IFS(C137="Electronics","P001", C137="MRO","P002", C137="Office Supplies","P003", C137="Packaging","P004", C137="Raw Materials","P005")</f>
        <v>P004</v>
      </c>
      <c r="C137" s="2" t="s">
        <v>164</v>
      </c>
      <c r="D137" s="1" t="s">
        <v>162</v>
      </c>
      <c r="E137" s="3">
        <v>2000</v>
      </c>
      <c r="F137" s="1" t="s">
        <v>162</v>
      </c>
      <c r="G137" s="1" t="s">
        <v>163</v>
      </c>
      <c r="H137" s="1" t="s">
        <v>163</v>
      </c>
      <c r="I137" s="1" t="s">
        <v>162</v>
      </c>
      <c r="J137" s="1">
        <v>1</v>
      </c>
    </row>
    <row r="138" spans="1:10" x14ac:dyDescent="0.2">
      <c r="A138" s="1" t="s">
        <v>147</v>
      </c>
      <c r="B138" s="1" t="str" cm="1">
        <f t="array" ref="B138">_xlfn.IFS(C138="Electronics","P001", C138="MRO","P002", C138="Office Supplies","P003", C138="Packaging","P004", C138="Raw Materials","P005")</f>
        <v>P001</v>
      </c>
      <c r="C138" s="2" t="s">
        <v>8</v>
      </c>
      <c r="D138" s="1" t="s">
        <v>162</v>
      </c>
      <c r="E138" s="3">
        <v>50.5</v>
      </c>
      <c r="F138" s="1" t="s">
        <v>163</v>
      </c>
      <c r="G138" s="1" t="s">
        <v>161</v>
      </c>
      <c r="H138" s="1" t="s">
        <v>163</v>
      </c>
      <c r="I138" s="1" t="s">
        <v>163</v>
      </c>
      <c r="J138" s="1">
        <v>1</v>
      </c>
    </row>
    <row r="139" spans="1:10" x14ac:dyDescent="0.2">
      <c r="A139" s="1" t="s">
        <v>148</v>
      </c>
      <c r="B139" s="1" t="str" cm="1">
        <f t="array" ref="B139">_xlfn.IFS(C139="Electronics","P001", C139="MRO","P002", C139="Office Supplies","P003", C139="Packaging","P004", C139="Raw Materials","P005")</f>
        <v>P001</v>
      </c>
      <c r="C139" s="2" t="s">
        <v>8</v>
      </c>
      <c r="D139" s="1" t="s">
        <v>161</v>
      </c>
      <c r="E139" s="3">
        <v>50.5</v>
      </c>
      <c r="F139" s="1" t="s">
        <v>163</v>
      </c>
      <c r="G139" s="1" t="s">
        <v>161</v>
      </c>
      <c r="H139" s="1" t="s">
        <v>163</v>
      </c>
      <c r="I139" s="1" t="s">
        <v>163</v>
      </c>
      <c r="J139" s="1">
        <v>1</v>
      </c>
    </row>
    <row r="140" spans="1:10" x14ac:dyDescent="0.2">
      <c r="A140" s="1" t="s">
        <v>149</v>
      </c>
      <c r="B140" s="1" t="str" cm="1">
        <f t="array" ref="B140">_xlfn.IFS(C140="Electronics","P001", C140="MRO","P002", C140="Office Supplies","P003", C140="Packaging","P004", C140="Raw Materials","P005")</f>
        <v>P003</v>
      </c>
      <c r="C140" s="2" t="s">
        <v>10</v>
      </c>
      <c r="D140" s="1" t="s">
        <v>162</v>
      </c>
      <c r="E140" s="3">
        <v>300.5</v>
      </c>
      <c r="F140" s="1" t="s">
        <v>161</v>
      </c>
      <c r="G140" s="1" t="s">
        <v>163</v>
      </c>
      <c r="H140" s="1" t="s">
        <v>161</v>
      </c>
      <c r="I140" s="1" t="s">
        <v>163</v>
      </c>
      <c r="J140" s="1">
        <v>1</v>
      </c>
    </row>
    <row r="141" spans="1:10" x14ac:dyDescent="0.2">
      <c r="A141" s="1" t="s">
        <v>150</v>
      </c>
      <c r="B141" s="1" t="str" cm="1">
        <f t="array" ref="B141">_xlfn.IFS(C141="Electronics","P001", C141="MRO","P002", C141="Office Supplies","P003", C141="Packaging","P004", C141="Raw Materials","P005")</f>
        <v>P001</v>
      </c>
      <c r="C141" s="2" t="s">
        <v>8</v>
      </c>
      <c r="D141" s="1" t="s">
        <v>161</v>
      </c>
      <c r="E141" s="3">
        <v>750.5</v>
      </c>
      <c r="F141" s="1" t="s">
        <v>163</v>
      </c>
      <c r="G141" s="1" t="s">
        <v>161</v>
      </c>
      <c r="H141" s="1" t="s">
        <v>163</v>
      </c>
      <c r="I141" s="1" t="s">
        <v>163</v>
      </c>
      <c r="J141" s="1">
        <v>1</v>
      </c>
    </row>
    <row r="142" spans="1:10" x14ac:dyDescent="0.2">
      <c r="A142" s="1" t="s">
        <v>151</v>
      </c>
      <c r="B142" s="1" t="str" cm="1">
        <f t="array" ref="B142">_xlfn.IFS(C142="Electronics","P001", C142="MRO","P002", C142="Office Supplies","P003", C142="Packaging","P004", C142="Raw Materials","P005")</f>
        <v>P002</v>
      </c>
      <c r="C142" s="2" t="s">
        <v>165</v>
      </c>
      <c r="D142" s="1" t="s">
        <v>162</v>
      </c>
      <c r="E142" s="3">
        <v>300.5</v>
      </c>
      <c r="F142" s="1" t="s">
        <v>161</v>
      </c>
      <c r="G142" s="1" t="s">
        <v>163</v>
      </c>
      <c r="H142" s="1" t="s">
        <v>162</v>
      </c>
      <c r="I142" s="1" t="s">
        <v>161</v>
      </c>
      <c r="J142" s="1">
        <v>1</v>
      </c>
    </row>
    <row r="143" spans="1:10" x14ac:dyDescent="0.2">
      <c r="A143" s="1" t="s">
        <v>152</v>
      </c>
      <c r="B143" s="1" t="str" cm="1">
        <f t="array" ref="B143">_xlfn.IFS(C143="Electronics","P001", C143="MRO","P002", C143="Office Supplies","P003", C143="Packaging","P004", C143="Raw Materials","P005")</f>
        <v>P003</v>
      </c>
      <c r="C143" s="2" t="s">
        <v>10</v>
      </c>
      <c r="D143" s="1" t="s">
        <v>161</v>
      </c>
      <c r="E143" s="3">
        <v>300.5</v>
      </c>
      <c r="F143" s="1" t="s">
        <v>163</v>
      </c>
      <c r="G143" s="1" t="s">
        <v>161</v>
      </c>
      <c r="H143" s="1" t="s">
        <v>163</v>
      </c>
      <c r="I143" s="1" t="s">
        <v>162</v>
      </c>
      <c r="J143" s="1">
        <v>1</v>
      </c>
    </row>
    <row r="144" spans="1:10" x14ac:dyDescent="0.2">
      <c r="A144" s="1" t="s">
        <v>153</v>
      </c>
      <c r="B144" s="1" t="str" cm="1">
        <f t="array" ref="B144">_xlfn.IFS(C144="Electronics","P001", C144="MRO","P002", C144="Office Supplies","P003", C144="Packaging","P004", C144="Raw Materials","P005")</f>
        <v>P004</v>
      </c>
      <c r="C144" s="2" t="s">
        <v>164</v>
      </c>
      <c r="D144" s="1" t="s">
        <v>161</v>
      </c>
      <c r="E144" s="3">
        <v>50.5</v>
      </c>
      <c r="F144" s="1" t="s">
        <v>161</v>
      </c>
      <c r="G144" s="1" t="s">
        <v>162</v>
      </c>
      <c r="H144" s="1" t="s">
        <v>162</v>
      </c>
      <c r="I144" s="1" t="s">
        <v>162</v>
      </c>
      <c r="J144" s="1">
        <v>1</v>
      </c>
    </row>
    <row r="145" spans="1:10" x14ac:dyDescent="0.2">
      <c r="A145" s="1" t="s">
        <v>154</v>
      </c>
      <c r="B145" s="1" t="str" cm="1">
        <f t="array" ref="B145">_xlfn.IFS(C145="Electronics","P001", C145="MRO","P002", C145="Office Supplies","P003", C145="Packaging","P004", C145="Raw Materials","P005")</f>
        <v>P002</v>
      </c>
      <c r="C145" s="2" t="s">
        <v>165</v>
      </c>
      <c r="D145" s="1" t="s">
        <v>162</v>
      </c>
      <c r="E145" s="1">
        <f>ROUND(AVERAGE(E2:E144),0)</f>
        <v>206</v>
      </c>
      <c r="F145" s="1" t="s">
        <v>163</v>
      </c>
      <c r="G145" s="1" t="s">
        <v>163</v>
      </c>
      <c r="H145" s="1" t="s">
        <v>161</v>
      </c>
      <c r="I145" s="1" t="s">
        <v>161</v>
      </c>
      <c r="J145" s="1">
        <v>1</v>
      </c>
    </row>
    <row r="146" spans="1:10" x14ac:dyDescent="0.2">
      <c r="A146" s="1" t="s">
        <v>155</v>
      </c>
      <c r="B146" s="1" t="str" cm="1">
        <f t="array" ref="B146">_xlfn.IFS(C146="Electronics","P001", C146="MRO","P002", C146="Office Supplies","P003", C146="Packaging","P004", C146="Raw Materials","P005")</f>
        <v>P005</v>
      </c>
      <c r="C146" s="2" t="s">
        <v>9</v>
      </c>
      <c r="D146" s="1" t="s">
        <v>161</v>
      </c>
      <c r="E146" s="1">
        <f t="shared" ref="E146:E151" si="0">ROUND(AVERAGE(E3:E145),0)</f>
        <v>206</v>
      </c>
      <c r="F146" s="1" t="s">
        <v>163</v>
      </c>
      <c r="G146" s="1" t="s">
        <v>161</v>
      </c>
      <c r="H146" s="1" t="s">
        <v>161</v>
      </c>
      <c r="I146" s="1" t="s">
        <v>162</v>
      </c>
      <c r="J146" s="1">
        <v>1</v>
      </c>
    </row>
    <row r="147" spans="1:10" x14ac:dyDescent="0.2">
      <c r="A147" s="1" t="s">
        <v>156</v>
      </c>
      <c r="B147" s="1" t="str" cm="1">
        <f t="array" ref="B147">_xlfn.IFS(C147="Electronics","P001", C147="MRO","P002", C147="Office Supplies","P003", C147="Packaging","P004", C147="Raw Materials","P005")</f>
        <v>P001</v>
      </c>
      <c r="C147" s="2" t="s">
        <v>8</v>
      </c>
      <c r="D147" s="1" t="s">
        <v>162</v>
      </c>
      <c r="E147" s="1">
        <f t="shared" si="0"/>
        <v>205</v>
      </c>
      <c r="F147" s="1" t="s">
        <v>161</v>
      </c>
      <c r="G147" s="1" t="s">
        <v>161</v>
      </c>
      <c r="H147" s="1" t="s">
        <v>163</v>
      </c>
      <c r="I147" s="1" t="s">
        <v>163</v>
      </c>
      <c r="J147" s="1">
        <v>1</v>
      </c>
    </row>
    <row r="148" spans="1:10" x14ac:dyDescent="0.2">
      <c r="A148" s="1" t="s">
        <v>157</v>
      </c>
      <c r="B148" s="1" t="str" cm="1">
        <f t="array" ref="B148">_xlfn.IFS(C148="Electronics","P001", C148="MRO","P002", C148="Office Supplies","P003", C148="Packaging","P004", C148="Raw Materials","P005")</f>
        <v>P003</v>
      </c>
      <c r="C148" s="2" t="s">
        <v>10</v>
      </c>
      <c r="D148" s="1" t="s">
        <v>161</v>
      </c>
      <c r="E148" s="1">
        <f t="shared" si="0"/>
        <v>204</v>
      </c>
      <c r="F148" s="1" t="s">
        <v>163</v>
      </c>
      <c r="G148" s="1" t="s">
        <v>161</v>
      </c>
      <c r="H148" s="1" t="s">
        <v>163</v>
      </c>
      <c r="I148" s="1" t="s">
        <v>163</v>
      </c>
      <c r="J148" s="1">
        <v>1</v>
      </c>
    </row>
    <row r="149" spans="1:10" x14ac:dyDescent="0.2">
      <c r="A149" s="1" t="s">
        <v>158</v>
      </c>
      <c r="B149" s="1" t="str" cm="1">
        <f t="array" ref="B149">_xlfn.IFS(C149="Electronics","P001", C149="MRO","P002", C149="Office Supplies","P003", C149="Packaging","P004", C149="Raw Materials","P005")</f>
        <v>P001</v>
      </c>
      <c r="C149" s="2" t="s">
        <v>8</v>
      </c>
      <c r="D149" s="1" t="s">
        <v>162</v>
      </c>
      <c r="E149" s="1">
        <f t="shared" si="0"/>
        <v>205</v>
      </c>
      <c r="F149" s="1" t="s">
        <v>163</v>
      </c>
      <c r="G149" s="1" t="s">
        <v>163</v>
      </c>
      <c r="H149" s="1" t="s">
        <v>163</v>
      </c>
      <c r="I149" s="1" t="s">
        <v>163</v>
      </c>
      <c r="J149" s="1">
        <v>1</v>
      </c>
    </row>
    <row r="150" spans="1:10" x14ac:dyDescent="0.2">
      <c r="A150" s="1" t="s">
        <v>159</v>
      </c>
      <c r="B150" s="1" t="str" cm="1">
        <f t="array" ref="B150">_xlfn.IFS(C150="Electronics","P001", C150="MRO","P002", C150="Office Supplies","P003", C150="Packaging","P004", C150="Raw Materials","P005")</f>
        <v>P001</v>
      </c>
      <c r="C150" s="2" t="s">
        <v>8</v>
      </c>
      <c r="D150" s="1" t="s">
        <v>162</v>
      </c>
      <c r="E150" s="1">
        <f t="shared" si="0"/>
        <v>206</v>
      </c>
      <c r="F150" s="1" t="s">
        <v>163</v>
      </c>
      <c r="G150" s="1" t="s">
        <v>161</v>
      </c>
      <c r="H150" s="1" t="s">
        <v>163</v>
      </c>
      <c r="I150" s="1" t="s">
        <v>163</v>
      </c>
      <c r="J150" s="1">
        <v>1</v>
      </c>
    </row>
    <row r="151" spans="1:10" x14ac:dyDescent="0.2">
      <c r="A151" s="1" t="s">
        <v>160</v>
      </c>
      <c r="B151" s="1" t="str" cm="1">
        <f t="array" ref="B151">_xlfn.IFS(C151="Electronics","P001", C151="MRO","P002", C151="Office Supplies","P003", C151="Packaging","P004", C151="Raw Materials","P005")</f>
        <v>P005</v>
      </c>
      <c r="C151" s="2" t="s">
        <v>9</v>
      </c>
      <c r="D151" s="1" t="s">
        <v>161</v>
      </c>
      <c r="E151" s="1">
        <f t="shared" si="0"/>
        <v>208</v>
      </c>
      <c r="F151" s="1" t="s">
        <v>162</v>
      </c>
      <c r="G151" s="1" t="s">
        <v>163</v>
      </c>
      <c r="H151" s="1" t="s">
        <v>163</v>
      </c>
      <c r="I151" s="1" t="s">
        <v>161</v>
      </c>
      <c r="J151" s="1">
        <v>1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abdullahhawlather01@hotmail.com</dc:creator>
  <cp:lastModifiedBy>abdullahhawlather01@hotmail.com</cp:lastModifiedBy>
  <dcterms:created xsi:type="dcterms:W3CDTF">2026-09-26T17:44:09Z</dcterms:created>
  <dcterms:modified xsi:type="dcterms:W3CDTF">2026-09-27T11:26:30Z</dcterms:modified>
</cp:coreProperties>
</file>